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Übersicht" sheetId="1" state="visible" r:id="rId3"/>
    <sheet name="Entscheidungssituation" sheetId="2" state="visible" r:id="rId4"/>
    <sheet name="Ausgangsdaten" sheetId="3" state="visible" r:id="rId5"/>
    <sheet name="Kriterien und Gewichtung" sheetId="4" state="visible" r:id="rId6"/>
    <sheet name="Optionsvergleich" sheetId="5" state="visible" r:id="rId7"/>
    <sheet name="Bewertungsbegründungen" sheetId="6" state="visible" r:id="rId8"/>
    <sheet name="Datenlücken und Unsicherheiten" sheetId="7" state="visible" r:id="rId9"/>
    <sheet name="Entscheidungsreife" sheetId="8" state="visible" r:id="rId10"/>
  </sheets>
  <definedNames>
    <definedName function="false" hidden="false" localSheetId="2" name="_xlnm.Print_Area" vbProcedure="false">Ausgangsdaten!$A$1:$D$37</definedName>
    <definedName function="false" hidden="false" localSheetId="2" name="_xlnm.Print_Titles" vbProcedure="false">Ausgangsdaten!$1:$5</definedName>
    <definedName function="false" hidden="true" localSheetId="2" name="_xlnm._FilterDatabase" vbProcedure="false">Ausgangsdaten!$A$5:$D$26</definedName>
    <definedName function="false" hidden="false" localSheetId="1" name="_xlnm.Print_Area" vbProcedure="false">Entscheidungssituation!$A$1:$D$22</definedName>
    <definedName function="false" hidden="false" localSheetId="3" name="_xlnm.Print_Area" vbProcedure="false">'Kriterien und Gewichtung'!$A$1:$I$12</definedName>
    <definedName function="false" hidden="false" localSheetId="0" name="_xlnm.Print_Area" vbProcedure="false">Übersicht!$A$1:$J$29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<sst xmlns="http://schemas.openxmlformats.org/spreadsheetml/2006/main" count="403" uniqueCount="337">
  <si>
    <t xml:space="preserve">Managementübersicht: Priorisierung IT-Projektportfolio</t>
  </si>
  <si>
    <t xml:space="preserve">Fiktiver Übungsfall | Betrachtungszeitraum 01.01.2027 bis 30.06.2027 | Entscheidung bis 30.10.2026</t>
  </si>
  <si>
    <t xml:space="preserve">Option</t>
  </si>
  <si>
    <t xml:space="preserve">Punkte</t>
  </si>
  <si>
    <t xml:space="preserve">Gesamtbedarf</t>
  </si>
  <si>
    <t xml:space="preserve">Verfügbar</t>
  </si>
  <si>
    <t xml:space="preserve">Kapazitätslücke</t>
  </si>
  <si>
    <t xml:space="preserve">Option 2</t>
  </si>
  <si>
    <t xml:space="preserve">9,5 FTE</t>
  </si>
  <si>
    <t xml:space="preserve">6,0 FTE</t>
  </si>
  <si>
    <t xml:space="preserve">3,5 FTE</t>
  </si>
  <si>
    <t xml:space="preserve">Option 4</t>
  </si>
  <si>
    <t xml:space="preserve">Empfehlung</t>
  </si>
  <si>
    <t xml:space="preserve">Option 4: Projekt B im bestätigten regulatorischen Mindestumfang priorisieren, Projekt A gestaffelt starten und Projekt C bis zum Abschluss der fachlichen Vorprüfung zurückstellen.</t>
  </si>
  <si>
    <t xml:space="preserve">Entscheidungsstatus</t>
  </si>
  <si>
    <t xml:space="preserve">Wesentliche Begründung</t>
  </si>
  <si>
    <t xml:space="preserve">Mit Auflagen entscheidungsreif
K.-o.-Prüfung abgeschlossen
Gewichtung bestätigt
Entscheidung durch Portfolio-Steuerkreis ausstehend</t>
  </si>
  <si>
    <t xml:space="preserve">• Projekt B erfüllt die angenommene verbindliche Vorgabe.
• Projekt A behält einen Teil des strategischen Nutzens.
• Staffelung reduziert Ressourcenkonflikte.
• Projekt C benötigt weitere Vorprüfung.</t>
  </si>
  <si>
    <t xml:space="preserve">Auflagen und nächste Schritte</t>
  </si>
  <si>
    <t xml:space="preserve">Nr.</t>
  </si>
  <si>
    <t xml:space="preserve">Maßnahme</t>
  </si>
  <si>
    <t xml:space="preserve">Verantwortung</t>
  </si>
  <si>
    <t xml:space="preserve">1</t>
  </si>
  <si>
    <t xml:space="preserve">Mindestumfang und Meilensteine von Projekt B verbindlich planen.</t>
  </si>
  <si>
    <t xml:space="preserve">2</t>
  </si>
  <si>
    <t xml:space="preserve">Kapazität von B und gestaffelten Start von A monatlich prüfen.</t>
  </si>
  <si>
    <t xml:space="preserve">3</t>
  </si>
  <si>
    <t xml:space="preserve">Projekt C nach Datenschutz-, Datenquellen- und Nutzennachweis erneut vorlegen.</t>
  </si>
  <si>
    <t xml:space="preserve">4</t>
  </si>
  <si>
    <t xml:space="preserve">Abweichungen bei Frist, Kapazität oder Vertragsfolgen sofort eskalieren.</t>
  </si>
  <si>
    <t xml:space="preserve">Erbetene Entscheidung</t>
  </si>
  <si>
    <t xml:space="preserve">Der Portfolio-Steuerkreis beschließt Option 4 mit den genannten Auflagen oder dokumentiert notwendige Änderungen.</t>
  </si>
  <si>
    <t xml:space="preserve">Entscheidungsvorlage: Priorisierung des IT-Projektportfolios</t>
  </si>
  <si>
    <t xml:space="preserve">Fiktiver Übungsfall: NordWerk Service GmbH | Betrachtungszeitraum 01.01.2027 bis 30.06.2027</t>
  </si>
  <si>
    <t xml:space="preserve">Entscheidung auf einen Blick</t>
  </si>
  <si>
    <t xml:space="preserve">Vorlagen-ID</t>
  </si>
  <si>
    <t xml:space="preserve">EV-2026-004</t>
  </si>
  <si>
    <t xml:space="preserve">Entscheidungsfrage</t>
  </si>
  <si>
    <t xml:space="preserve">Welche Projektkombination soll im ersten Halbjahr 2027 verbindlich priorisiert werden?</t>
  </si>
  <si>
    <t xml:space="preserve">Anlass</t>
  </si>
  <si>
    <t xml:space="preserve">Für alle drei Vorhaben werden 9,5 FTE benötigt. Im relevanten Zeitraum stehen nur 6,0 FTE zur Verfügung.</t>
  </si>
  <si>
    <t xml:space="preserve">Entscheidung benötigt bis</t>
  </si>
  <si>
    <t xml:space="preserve">Entscheidungsgremium</t>
  </si>
  <si>
    <t xml:space="preserve">Portfolio-Steuerkreis</t>
  </si>
  <si>
    <t xml:space="preserve">Sponsor</t>
  </si>
  <si>
    <t xml:space="preserve">Geschäftsleitung</t>
  </si>
  <si>
    <t xml:space="preserve">Erstellerin / koordinierende Rolle</t>
  </si>
  <si>
    <t xml:space="preserve">PMO</t>
  </si>
  <si>
    <t xml:space="preserve">Datenstand</t>
  </si>
  <si>
    <t xml:space="preserve">Bearbeitungsstatus</t>
  </si>
  <si>
    <t xml:space="preserve">Zur Entscheidung vorgelegt</t>
  </si>
  <si>
    <t xml:space="preserve">Konsequenz ohne Entscheidung</t>
  </si>
  <si>
    <t xml:space="preserve">Die Ressourcenplanung bleibt unverbindlich. Das regulatorisch relevante Rechnungsprojekt kann verspätet starten; Zusagen zum Kundenportal bleiben ungeklärt.</t>
  </si>
  <si>
    <t xml:space="preserve">Betrachtete Projekte</t>
  </si>
  <si>
    <t xml:space="preserve">A: Digitales Kundenportal | B: Digitaler Rechnungsprozess | C: KI-Wissensassistent</t>
  </si>
  <si>
    <t xml:space="preserve">Finale Empfehlung</t>
  </si>
  <si>
    <t xml:space="preserve">Entscheidungsreife</t>
  </si>
  <si>
    <t xml:space="preserve">Für den fiktiven Übungsfall mit Auflagen entscheidungsreif</t>
  </si>
  <si>
    <t xml:space="preserve">Begründung</t>
  </si>
  <si>
    <t xml:space="preserve">Regulatorische Pflicht und Ressourcenlage wurden im Übungsfall als geklärt angenommen. Option 4 sichert Projekt B ab und erhält zugleich einen Teil des Nutzens von Projekt A.</t>
  </si>
  <si>
    <t xml:space="preserve">K.-o.-Prüfung</t>
  </si>
  <si>
    <t xml:space="preserve">Für den fiktiven Übungsfall abgeschlossen: Frist und Mindestumfang von Projekt B gelten als bestätigt.</t>
  </si>
  <si>
    <t xml:space="preserve">Hinweis zur Nutzung</t>
  </si>
  <si>
    <t xml:space="preserve">Dieses Blatt ist die Managementsicht. Detaildaten, Quellen, Annahmen und Datenlücken stehen im Blatt „Ausgangsdaten“. Blaue Schrift kennzeichnet veränderbare Eingaben.</t>
  </si>
  <si>
    <t xml:space="preserve">Ausgangsdaten der drei Projektvorhaben</t>
  </si>
  <si>
    <t xml:space="preserve">Nur entscheidungsrelevante Informationen; Detailnachweise verbleiben in Business Cases, Projektplänen und Risikoregistern.</t>
  </si>
  <si>
    <t xml:space="preserve">Projektvergleich</t>
  </si>
  <si>
    <t xml:space="preserve">Projekt A</t>
  </si>
  <si>
    <t xml:space="preserve">Projekt B</t>
  </si>
  <si>
    <t xml:space="preserve">Projekt C</t>
  </si>
  <si>
    <t xml:space="preserve">Projektname</t>
  </si>
  <si>
    <t xml:space="preserve">Digitales Kundenportal</t>
  </si>
  <si>
    <t xml:space="preserve">Digitaler Rechnungsprozess</t>
  </si>
  <si>
    <t xml:space="preserve">KI-Wissensassistent</t>
  </si>
  <si>
    <t xml:space="preserve">Sponsor / Fachbereich</t>
  </si>
  <si>
    <t xml:space="preserve">Vertrieb</t>
  </si>
  <si>
    <t xml:space="preserve">Finanzen</t>
  </si>
  <si>
    <t xml:space="preserve">Interne Services</t>
  </si>
  <si>
    <t xml:space="preserve">Projektziel</t>
  </si>
  <si>
    <t xml:space="preserve">Kunden verwalten Aufträge, Dokumente und Anfragen online.</t>
  </si>
  <si>
    <t xml:space="preserve">Rechnungs- und Archivierungsprozesse fristgerecht an verbindliche Vorgaben anpassen.</t>
  </si>
  <si>
    <t xml:space="preserve">Mitarbeitende finden interne Prozess- und Produktinformationen schneller.</t>
  </si>
  <si>
    <t xml:space="preserve">Projektstatus</t>
  </si>
  <si>
    <t xml:space="preserve">Vorbereitung</t>
  </si>
  <si>
    <t xml:space="preserve">Pilot geplant</t>
  </si>
  <si>
    <t xml:space="preserve">Budget</t>
  </si>
  <si>
    <t xml:space="preserve">Gesamter Kapazitätsbedarf (FTE)</t>
  </si>
  <si>
    <t xml:space="preserve">Derzeit verfügbare Schlüsselrollen-Kapazität (FTE)</t>
  </si>
  <si>
    <t xml:space="preserve">Geplanter Endtermin</t>
  </si>
  <si>
    <t xml:space="preserve">Terminart</t>
  </si>
  <si>
    <t xml:space="preserve">Zieltermin</t>
  </si>
  <si>
    <t xml:space="preserve">verbindlicher Termin; im Übungsfall fachlich bestätigt</t>
  </si>
  <si>
    <t xml:space="preserve">Pilotziel</t>
  </si>
  <si>
    <t xml:space="preserve">Erwarteter jährlicher Nutzen</t>
  </si>
  <si>
    <t xml:space="preserve">nicht primär monetär bewertet</t>
  </si>
  <si>
    <t xml:space="preserve">Strategischer Beitrag</t>
  </si>
  <si>
    <t xml:space="preserve">hoch</t>
  </si>
  <si>
    <t xml:space="preserve">mittel bis hoch</t>
  </si>
  <si>
    <t xml:space="preserve">mittel</t>
  </si>
  <si>
    <t xml:space="preserve">Regulatorische Bedeutung</t>
  </si>
  <si>
    <t xml:space="preserve">niedrig</t>
  </si>
  <si>
    <t xml:space="preserve">sehr hoch</t>
  </si>
  <si>
    <t xml:space="preserve">Umsetzungsrisiko</t>
  </si>
  <si>
    <t xml:space="preserve">Korrigierbarkeit</t>
  </si>
  <si>
    <t xml:space="preserve">Wesentliche Abhängigkeiten</t>
  </si>
  <si>
    <t xml:space="preserve">CRM-Schnittstelle, Identitätsmanagement, IT-Sicherheit</t>
  </si>
  <si>
    <t xml:space="preserve">ERP-System, Finanzbuchhaltung, externer Softwareanbieter</t>
  </si>
  <si>
    <t xml:space="preserve">Dokumentenqualität, Zugriffsrechte, Datenschutz</t>
  </si>
  <si>
    <t xml:space="preserve">Datenqualität</t>
  </si>
  <si>
    <t xml:space="preserve">überwiegend belastbar</t>
  </si>
  <si>
    <t xml:space="preserve">für den Übungsfall bestätigt</t>
  </si>
  <si>
    <t xml:space="preserve">teilweise belastbar</t>
  </si>
  <si>
    <t xml:space="preserve">Quelle</t>
  </si>
  <si>
    <t xml:space="preserve">Business Case A, Ressourcenübersicht, Risikoregister</t>
  </si>
  <si>
    <t xml:space="preserve">Fachkonzept B, Compliance-Einschätzung, Anbieterplanung</t>
  </si>
  <si>
    <t xml:space="preserve">Pilotkonzept C, Stichprobe Wissenssuche</t>
  </si>
  <si>
    <t xml:space="preserve">Fachlich geprüft durch</t>
  </si>
  <si>
    <t xml:space="preserve">Vertrieb und IT</t>
  </si>
  <si>
    <t xml:space="preserve">Finanzen und Compliance</t>
  </si>
  <si>
    <t xml:space="preserve">Fachbereich; Datenschutzprüfung offen</t>
  </si>
  <si>
    <t xml:space="preserve">Wesentliche Annahme</t>
  </si>
  <si>
    <t xml:space="preserve">Kunden nutzen das Portal aktiv und reduzieren manuelle Anfragen.</t>
  </si>
  <si>
    <t xml:space="preserve">Frist und erforderlicher Mindestumfang bleiben verbindlich.</t>
  </si>
  <si>
    <t xml:space="preserve">Die durchschnittliche Suchzeit sinkt deutlich.</t>
  </si>
  <si>
    <t xml:space="preserve">Wesentliche Datenlücke</t>
  </si>
  <si>
    <t xml:space="preserve">Belastbare Nutzungsquote und Aufwand für Support nach Einführung.</t>
  </si>
  <si>
    <t xml:space="preserve">für den Übungsfall geklärt: Mindestumfang und Frist bestätigt</t>
  </si>
  <si>
    <t xml:space="preserve">Belastbarer Nutzennachweis und Freigabe der vorgesehenen Datenquellen.</t>
  </si>
  <si>
    <t xml:space="preserve">Nutzenart</t>
  </si>
  <si>
    <t xml:space="preserve">wirtschaftlich und strategisch</t>
  </si>
  <si>
    <t xml:space="preserve">regulatorisch, organisatorisch und risikovermeidend</t>
  </si>
  <si>
    <t xml:space="preserve">organisatorisch und wirtschaftlich</t>
  </si>
  <si>
    <t xml:space="preserve">Konsequenz einer Verschiebung</t>
  </si>
  <si>
    <t xml:space="preserve">spätere Nutzenrealisierung; mögliche Verzögerung von Vertriebszusagen</t>
  </si>
  <si>
    <t xml:space="preserve">mögliches Compliance- und Betriebsrisiko</t>
  </si>
  <si>
    <t xml:space="preserve">späterer Pilot; Nutzenannahme kann zunächst nicht überprüft werden</t>
  </si>
  <si>
    <t xml:space="preserve">Spätester vertretbarer Start</t>
  </si>
  <si>
    <t xml:space="preserve">noch festzulegen</t>
  </si>
  <si>
    <t xml:space="preserve">abhängig vom bestätigten Mindestumfang und Endtermin</t>
  </si>
  <si>
    <t xml:space="preserve">nach Abschluss von Datenschutz- und Datenquellenprüfung</t>
  </si>
  <si>
    <t xml:space="preserve">Bereits gebundene externe Kosten</t>
  </si>
  <si>
    <t xml:space="preserve">noch zu prüfen</t>
  </si>
  <si>
    <t xml:space="preserve">Anbieterplanung und bestehende Verpflichtungen prüfen</t>
  </si>
  <si>
    <t xml:space="preserve">noch keine beziehungsweise noch zu bestätigen</t>
  </si>
  <si>
    <t xml:space="preserve">Kapazitätsengpass im Betrachtungszeitraum</t>
  </si>
  <si>
    <t xml:space="preserve">Kennzahl</t>
  </si>
  <si>
    <t xml:space="preserve">Wert</t>
  </si>
  <si>
    <t xml:space="preserve">Einheit</t>
  </si>
  <si>
    <t xml:space="preserve">Hinweis</t>
  </si>
  <si>
    <t xml:space="preserve">Gesamtbedarf aller drei Projekte</t>
  </si>
  <si>
    <t xml:space="preserve">FTE</t>
  </si>
  <si>
    <t xml:space="preserve">Summe des angegebenen Kapazitätsbedarfs</t>
  </si>
  <si>
    <t xml:space="preserve">Verfügbare Portfoliokapazität</t>
  </si>
  <si>
    <t xml:space="preserve">Fiktive Planannahme für 01.01. bis 30.06.2027</t>
  </si>
  <si>
    <t xml:space="preserve">Zeigt, warum eine Priorisierungsentscheidung notwendig ist</t>
  </si>
  <si>
    <t xml:space="preserve">Legende: Blaue Schrift = veränderbare Eingabe | Schwarze Schrift = Formel | Hellrot = offene oder entscheidungskritische Information. Alle Projektdaten sind für die Lernarbeitsprobe synthetisch.</t>
  </si>
  <si>
    <t xml:space="preserve">Kriterium</t>
  </si>
  <si>
    <t xml:space="preserve">Gewichtung</t>
  </si>
  <si>
    <t xml:space="preserve">Leitfrage</t>
  </si>
  <si>
    <t xml:space="preserve">K.-o.-Prüfung vor dem Optionsvergleich</t>
  </si>
  <si>
    <t xml:space="preserve">Unterstützt die Option die Unternehmensziele?</t>
  </si>
  <si>
    <t xml:space="preserve">Kunden-, Prozess- und Digitalisierungsziele berücksichtigen</t>
  </si>
  <si>
    <t xml:space="preserve">K.-o.-Kriterien werden zuerst geprüft. Eine nicht erfüllte Muss-Bedingung darf nicht durch hohe Punktwerte bei anderen Kriterien ausgeglichen werden.</t>
  </si>
  <si>
    <t xml:space="preserve">Erwarteter Nutzen</t>
  </si>
  <si>
    <t xml:space="preserve">Welchen wirtschaftlichen oder organisatorischen Nutzen bringt die Option?</t>
  </si>
  <si>
    <t xml:space="preserve">monetären und nicht monetären Nutzen berücksichtigen</t>
  </si>
  <si>
    <t xml:space="preserve">Prüffrage</t>
  </si>
  <si>
    <t xml:space="preserve">Ergebnis</t>
  </si>
  <si>
    <t xml:space="preserve">Erläuterung</t>
  </si>
  <si>
    <t xml:space="preserve">Folge für den Optionsvergleich</t>
  </si>
  <si>
    <t xml:space="preserve">Dringlichkeit</t>
  </si>
  <si>
    <t xml:space="preserve">Wie zeitkritisch ist die Umsetzung?</t>
  </si>
  <si>
    <t xml:space="preserve">verbindliche Termine und Folgen einer Verzögerung</t>
  </si>
  <si>
    <t xml:space="preserve">Muss Projekt B bis zum 31.03.2027 in einem verbindlichen Mindestumfang umgesetzt sein?</t>
  </si>
  <si>
    <t xml:space="preserve">Ja, im fiktiven Übungsfall bestätigt</t>
  </si>
  <si>
    <t xml:space="preserve">Die zuständige Fachrolle bestätigt eine verbindliche Vorgabe einschließlich Frist und Mindestumfang.</t>
  </si>
  <si>
    <t xml:space="preserve">Optionen, die den Mindestumfang von Projekt B nicht sicherstellen, werden ausgeschlossen.</t>
  </si>
  <si>
    <t xml:space="preserve">Machbarkeit</t>
  </si>
  <si>
    <t xml:space="preserve">Ist die Option mit Ressourcen und Technik umsetzbar?</t>
  </si>
  <si>
    <t xml:space="preserve">Kapazität, Schlüsselrollen und Abhängigkeiten</t>
  </si>
  <si>
    <t xml:space="preserve">Darf eine Option zugelassen werden, die den bestätigten Mindestumfang von Projekt B nicht sicherstellt?</t>
  </si>
  <si>
    <t xml:space="preserve">Nein</t>
  </si>
  <si>
    <t xml:space="preserve">Die verbindliche Vorgabe darf nicht durch hohe Punktwerte bei Nutzen, Strategie oder anderen Kriterien ausgeglichen werden.</t>
  </si>
  <si>
    <t xml:space="preserve">Die betroffene Option wird nicht in die abschließende Rangfolge aufgenommen.</t>
  </si>
  <si>
    <t xml:space="preserve">Risikobeherrschung</t>
  </si>
  <si>
    <t xml:space="preserve">Wie beherrschbar sind die Risiken?</t>
  </si>
  <si>
    <t xml:space="preserve">hohe Punktzahl bedeutet günstige Risikosituation</t>
  </si>
  <si>
    <t xml:space="preserve">Ist die aktuelle Gewichtung vor der Bewertung verbindlich abgestimmt?</t>
  </si>
  <si>
    <t xml:space="preserve">Ja, für den Übungsfall bestätigt</t>
  </si>
  <si>
    <t xml:space="preserve">Die Gewichtung wurde vor der abschließenden Bewertung festgelegt und beträgt insgesamt 100 Prozent.</t>
  </si>
  <si>
    <t xml:space="preserve">Keine endgültige Rangfolge, solange die Gewichtung nicht bestätigt ist.</t>
  </si>
  <si>
    <t xml:space="preserve">Werden verbindliche Anforderungen eingehalten?</t>
  </si>
  <si>
    <t xml:space="preserve">bestätigte Pflicht kann K.-o.-Kriterium sein</t>
  </si>
  <si>
    <t xml:space="preserve">Sind Gesamtbedarf und verfügbare Schlüsselrollen-Kapazität für Projekt B bestätigt?</t>
  </si>
  <si>
    <t xml:space="preserve">Ja, für Option 4 bestätigt</t>
  </si>
  <si>
    <t xml:space="preserve">3,0 FTE Gesamtbedarf von Projekt B und die verfügbare Schlüsselrollen-Kapazität wurden im fiktiven Szenario geprüft.</t>
  </si>
  <si>
    <t xml:space="preserve">Option 4 ist unter monatlicher Kapazitätskontrolle umsetzbar.</t>
  </si>
  <si>
    <t xml:space="preserve">Abhängigkeiten</t>
  </si>
  <si>
    <t xml:space="preserve">Welche Auswirkungen entstehen für andere Vorhaben?</t>
  </si>
  <si>
    <t xml:space="preserve">System- und Projektabhängigkeiten</t>
  </si>
  <si>
    <t xml:space="preserve">Aktueller Gesamtstatus</t>
  </si>
  <si>
    <t xml:space="preserve">Abgeschlossen</t>
  </si>
  <si>
    <t xml:space="preserve">K.-o.-Prüfung für den fiktiven Übungsfall abgeschlossen. Nur zulässige Optionen werden in die abschließende Rangfolge aufgenommen.</t>
  </si>
  <si>
    <t xml:space="preserve">Summe</t>
  </si>
  <si>
    <t xml:space="preserve">Merke: Gewichtete Kriterien ordnen zulässige Optionen. K.-o.-Kriterien entscheiden vorher, welche Optionen überhaupt zulässig sind.</t>
  </si>
  <si>
    <t xml:space="preserve">Optionsvergleich nach abgeschlossener K.-o.-Prüfung</t>
  </si>
  <si>
    <t xml:space="preserve">Bewertungsskala: 1 = sehr ungünstig, 5 = sehr günstig. Die Punktwerte und Klärungsergebnisse sind für den fiktiven Übungsfall angenommen.</t>
  </si>
  <si>
    <t xml:space="preserve">Gewicht</t>
  </si>
  <si>
    <t xml:space="preserve">Opt. 1</t>
  </si>
  <si>
    <t xml:space="preserve">Opt. 2</t>
  </si>
  <si>
    <t xml:space="preserve">Opt. 3</t>
  </si>
  <si>
    <t xml:space="preserve">Opt. 4</t>
  </si>
  <si>
    <t xml:space="preserve">Gew. Opt. 1</t>
  </si>
  <si>
    <t xml:space="preserve">Gew. Opt. 2</t>
  </si>
  <si>
    <t xml:space="preserve">Gew. Opt. 3</t>
  </si>
  <si>
    <t xml:space="preserve">Gew. Opt. 4</t>
  </si>
  <si>
    <t xml:space="preserve">Kurzbegründung Option 4</t>
  </si>
  <si>
    <t xml:space="preserve">B sichert Pflicht; A bleibt gestaffelt aktiv.</t>
  </si>
  <si>
    <t xml:space="preserve">Regulatorischer Nutzen B plus Teilnutzen A.</t>
  </si>
  <si>
    <t xml:space="preserve">Verbindliche Frist von B wird abgesichert.</t>
  </si>
  <si>
    <t xml:space="preserve">Umsetzbar mit monatlicher Kapazitätskontrolle.</t>
  </si>
  <si>
    <t xml:space="preserve">Compliance- und Überlastungsrisiko werden begrenzt.</t>
  </si>
  <si>
    <t xml:space="preserve">Bestätigter Mindestumfang von B wird erfüllt.</t>
  </si>
  <si>
    <t xml:space="preserve">Gestaffelter Start reduziert Ressourcenkonflikte.</t>
  </si>
  <si>
    <t xml:space="preserve">Gewichtete Gesamtpunktzahl</t>
  </si>
  <si>
    <t xml:space="preserve">K.-o.-Status der vier Optionen</t>
  </si>
  <si>
    <t xml:space="preserve">Beschreibung</t>
  </si>
  <si>
    <t xml:space="preserve">K.-o.-Status</t>
  </si>
  <si>
    <t xml:space="preserve">Folge</t>
  </si>
  <si>
    <t xml:space="preserve">Option 1</t>
  </si>
  <si>
    <t xml:space="preserve">Projekt A priorisieren</t>
  </si>
  <si>
    <t xml:space="preserve">nicht zulässig</t>
  </si>
  <si>
    <t xml:space="preserve">Mindestumfang von Projekt B wäre nicht abgesichert.</t>
  </si>
  <si>
    <t xml:space="preserve">Projekt B priorisieren</t>
  </si>
  <si>
    <t xml:space="preserve">zulässig</t>
  </si>
  <si>
    <t xml:space="preserve">Erfüllt Pflicht, verschiebt aber Nutzen von A vollständig.</t>
  </si>
  <si>
    <t xml:space="preserve">Option 3</t>
  </si>
  <si>
    <t xml:space="preserve">Ressourcen auf alle Projekte verteilen</t>
  </si>
  <si>
    <t xml:space="preserve">Mindestumfang und Termin von B wären nicht zuverlässig gesichert.</t>
  </si>
  <si>
    <t xml:space="preserve">Projekt B absichern, A gestaffelt starten</t>
  </si>
  <si>
    <t xml:space="preserve">zulässig und empfohlen</t>
  </si>
  <si>
    <t xml:space="preserve">Erfüllt Pflicht und erhält Teilnutzen von A.</t>
  </si>
  <si>
    <t xml:space="preserve">Begründungen der Optionsbewertung</t>
  </si>
  <si>
    <t xml:space="preserve">A maximiert strategischen Kundennutzen.</t>
  </si>
  <si>
    <t xml:space="preserve">B erfüllt Pflicht, geringer zusätzlicher Strategienutzen.</t>
  </si>
  <si>
    <t xml:space="preserve">Alle Vorhaben bleiben aktiv, aber ohne klare Priorität.</t>
  </si>
  <si>
    <t xml:space="preserve">B wird abgesichert; A bleibt strategisch aktiv.</t>
  </si>
  <si>
    <t xml:space="preserve">Fiktive Bewertung; in der Praxis durch Fachrollen zu bestätigen.</t>
  </si>
  <si>
    <t xml:space="preserve">Höchster monetärer Nutzen, aber Pflicht B gefährdet.</t>
  </si>
  <si>
    <t xml:space="preserve">Regulatorischer Nutzen, A-Nutzen wird verschoben.</t>
  </si>
  <si>
    <t xml:space="preserve">Teilnutzen mehrerer Projekte, aber hohe Reibungsverluste.</t>
  </si>
  <si>
    <t xml:space="preserve">Regulatorischer Nutzen plus Teilnutzen A.</t>
  </si>
  <si>
    <t xml:space="preserve">Frist B nicht ausreichend berücksichtigt.</t>
  </si>
  <si>
    <t xml:space="preserve">Frist B vollständig abgesichert.</t>
  </si>
  <si>
    <t xml:space="preserve">Frist B durch Teilung unsicher.</t>
  </si>
  <si>
    <t xml:space="preserve">Frist B abgesichert, A startet gestaffelt.</t>
  </si>
  <si>
    <t xml:space="preserve">A machbar, Gesamtportfolio bleibt konfliktbehaftet.</t>
  </si>
  <si>
    <t xml:space="preserve">B mit vorhandener Planung machbar.</t>
  </si>
  <si>
    <t xml:space="preserve">Parallele Teilung erzeugt Überlastung und Kontextwechsel.</t>
  </si>
  <si>
    <t xml:space="preserve">Machbar unter monatlicher Kapazitätskontrolle.</t>
  </si>
  <si>
    <t xml:space="preserve">Compliance-Risiko bleibt hoch.</t>
  </si>
  <si>
    <t xml:space="preserve">Compliance-Risiko niedrig, strategischer Nutzen A entfällt zunächst.</t>
  </si>
  <si>
    <t xml:space="preserve">Mehrere Termin- und Überlastungsrisiken.</t>
  </si>
  <si>
    <t xml:space="preserve">Pflicht B nicht erfüllt.</t>
  </si>
  <si>
    <t xml:space="preserve">Pflicht B erfüllt.</t>
  </si>
  <si>
    <t xml:space="preserve">Pflichterfüllung nicht zuverlässig.</t>
  </si>
  <si>
    <t xml:space="preserve">CRM und Schlüsselrollen werden gebunden.</t>
  </si>
  <si>
    <t xml:space="preserve">ERP-/Finanzabhängigkeiten werden fokussiert bearbeitet.</t>
  </si>
  <si>
    <t xml:space="preserve">Gemeinsame Ressourcen bleiben konfliktbehaftet.</t>
  </si>
  <si>
    <t xml:space="preserve">Staffelung reduziert Ressourcenkonflikte.</t>
  </si>
  <si>
    <t xml:space="preserve">Offene Information</t>
  </si>
  <si>
    <t xml:space="preserve">Betroffene Option</t>
  </si>
  <si>
    <t xml:space="preserve">Auswirkung</t>
  </si>
  <si>
    <t xml:space="preserve">Zuständige Rolle</t>
  </si>
  <si>
    <t xml:space="preserve">Klärung bis</t>
  </si>
  <si>
    <t xml:space="preserve">Status</t>
  </si>
  <si>
    <t xml:space="preserve">Priorität der Klärung</t>
  </si>
  <si>
    <t xml:space="preserve">Erforderlicher Nachweis</t>
  </si>
  <si>
    <t xml:space="preserve">Auswirkung auf Entscheidungsreife</t>
  </si>
  <si>
    <t xml:space="preserve">Ergebnis oder Rückmeldung</t>
  </si>
  <si>
    <t xml:space="preserve">regulatorische Pflicht von Projekt B</t>
  </si>
  <si>
    <t xml:space="preserve">alle Optionen</t>
  </si>
  <si>
    <t xml:space="preserve">kann Priorisierung verändern</t>
  </si>
  <si>
    <t xml:space="preserve">Compliance</t>
  </si>
  <si>
    <t xml:space="preserve">geklärt (fiktiv)</t>
  </si>
  <si>
    <t xml:space="preserve">Schriftliche Fach- oder Compliance-Bestätigung zu Quelle, Frist und Mindestumfang</t>
  </si>
  <si>
    <t xml:space="preserve">K.-o.-Bedingung bestätigt; Optionen ohne Absicherung von Projekt B sind ausgeschlossen.</t>
  </si>
  <si>
    <t xml:space="preserve">Die Fachrolle bestätigt im Übungsfall Quelle, Frist 31.03.2027 und verbindlichen Mindestumfang.</t>
  </si>
  <si>
    <t xml:space="preserve">aktuelle Ressourcendaten</t>
  </si>
  <si>
    <t xml:space="preserve">alle Optionen, besonders Option 4</t>
  </si>
  <si>
    <t xml:space="preserve">Machbarkeit und Terminplanung unklar</t>
  </si>
  <si>
    <t xml:space="preserve">Ressourcenmanagement</t>
  </si>
  <si>
    <t xml:space="preserve">Bestätigte Kapazitätsplanung: 3,0 FTE Gesamtbedarf, Zeitraum, Kompetenzen und verfügbare 1,5 FTE Schlüsselrollen-Kapazität</t>
  </si>
  <si>
    <t xml:space="preserve">Option 4 ist unter monatlicher Kapazitätskontrolle machbar.</t>
  </si>
  <si>
    <t xml:space="preserve">Die Planung bestätigt 3,0 FTE Gesamtbedarf für Projekt B sowie die Verfügbarkeit der benötigten Schlüsselrollen im vorgesehenen Zeitraum.</t>
  </si>
  <si>
    <t xml:space="preserve">Kundenzusage</t>
  </si>
  <si>
    <t xml:space="preserve">Optionen mit Verschiebung von Projekt B</t>
  </si>
  <si>
    <t xml:space="preserve">Mögliche vertragliche oder geschäftliche Folge</t>
  </si>
  <si>
    <t xml:space="preserve">Vertragsunterlage oder schriftliche Vertriebsbestätigung zu Zusage und Folgen einer Verschiebung</t>
  </si>
  <si>
    <t xml:space="preserve">Kein Ausschlussgrund; Auswirkungen gelten als beherrschbar.</t>
  </si>
  <si>
    <t xml:space="preserve">Im Übungsfall entstehen keine Vertragsfolgen, die dem gestaffelten Start von Projekt A oder der Priorisierung von Projekt B entgegenstehen.</t>
  </si>
  <si>
    <t xml:space="preserve">Prüfung der Entscheidungsreife</t>
  </si>
  <si>
    <t xml:space="preserve">Prüfpunkt</t>
  </si>
  <si>
    <t xml:space="preserve">Bedeutung</t>
  </si>
  <si>
    <t xml:space="preserve">Quellen und Datenstand benannt</t>
  </si>
  <si>
    <t xml:space="preserve">Ja</t>
  </si>
  <si>
    <t xml:space="preserve">Im Übungsfall als bestätigt angenommen.</t>
  </si>
  <si>
    <t xml:space="preserve">Grundlage vorhanden</t>
  </si>
  <si>
    <t xml:space="preserve">Wesentliche Datenlücken sichtbar und bearbeitet</t>
  </si>
  <si>
    <t xml:space="preserve">Regulatorik, Ressourcen und Kundenzusage wurden fiktiv geklärt.</t>
  </si>
  <si>
    <t xml:space="preserve">K.-o.-Kriterien geklärt</t>
  </si>
  <si>
    <t xml:space="preserve">Frist und Mindestumfang von Projekt B gelten als bestätigt.</t>
  </si>
  <si>
    <t xml:space="preserve">Zulässige Optionen bestimmt</t>
  </si>
  <si>
    <t xml:space="preserve">Kriterien und Gewichtungen nachvollziehbar</t>
  </si>
  <si>
    <t xml:space="preserve">Gewichte vor Bewertung festgelegt; Summe 100 %.</t>
  </si>
  <si>
    <t xml:space="preserve">Vergleich nachvollziehbar</t>
  </si>
  <si>
    <t xml:space="preserve">Annahmen und Unsicherheiten dokumentiert</t>
  </si>
  <si>
    <t xml:space="preserve">Fiktive Annahmen sind ausdrücklich gekennzeichnet.</t>
  </si>
  <si>
    <t xml:space="preserve">Transparenz vorhanden</t>
  </si>
  <si>
    <t xml:space="preserve">Auswirkungen beschrieben</t>
  </si>
  <si>
    <t xml:space="preserve">Regulatorische, Ressourcen- und Verschiebungsfolgen berücksichtigt.</t>
  </si>
  <si>
    <t xml:space="preserve">Abwägung möglich</t>
  </si>
  <si>
    <t xml:space="preserve">Handlungsoptionen bewertet</t>
  </si>
  <si>
    <t xml:space="preserve">Vier Optionen bewertet; zwei Optionen durch K.-o.-Logik ausgeschlossen.</t>
  </si>
  <si>
    <t xml:space="preserve">Rangfolge vorhanden</t>
  </si>
  <si>
    <t xml:space="preserve">Ressourcen für Option 4 ausreichend</t>
  </si>
  <si>
    <t xml:space="preserve">Ja, unter Auflagen</t>
  </si>
  <si>
    <t xml:space="preserve">Monatliche Kapazitätskontrolle erforderlich.</t>
  </si>
  <si>
    <t xml:space="preserve">Auflage notwendig</t>
  </si>
  <si>
    <t xml:space="preserve">Entscheidungsrolle benannt</t>
  </si>
  <si>
    <t xml:space="preserve">Portfolio-Steuerkreis / Portfoliogremium.</t>
  </si>
  <si>
    <t xml:space="preserve">Verantwortung geklärt</t>
  </si>
  <si>
    <t xml:space="preserve">Vorlage verständlich</t>
  </si>
  <si>
    <t xml:space="preserve">Simulierter Sponsor-Review für den Übungsfall.</t>
  </si>
  <si>
    <t xml:space="preserve">Vorlage vorlegbar</t>
  </si>
  <si>
    <t xml:space="preserve">Gesamtergebnis</t>
  </si>
  <si>
    <t xml:space="preserve">Für den fiktiven Übungsfall mit Auflagen entscheidungsreif. Option 4 kann dem Portfoliogremium zur Entscheidung vorgelegt werden.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</si>
</sst>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\.mm\.yyyy"/>
    <numFmt numFmtId="166" formatCode="#,##0\ [$€-407];[RED]\(#,##0\ [$€-407]\);\-"/>
    <numFmt numFmtId="167" formatCode="0.0&quot; FTE&quot;"/>
    <numFmt numFmtId="168" formatCode="0.0"/>
    <numFmt numFmtId="169" formatCode="0\ %"/>
    <numFmt numFmtId="170" formatCode="0.00"/>
  </numFmts>
  <fonts count="3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ptos Display"/>
      <family val="0"/>
      <charset val="1"/>
    </font>
    <font>
      <i val="true"/>
      <sz val="9"/>
      <color rgb="FF17365D"/>
      <name val="Aptos"/>
      <family val="0"/>
      <charset val="1"/>
    </font>
    <font>
      <b val="true"/>
      <sz val="10"/>
      <color rgb="FFFFFFFF"/>
      <name val="Aptos"/>
      <family val="0"/>
      <charset val="1"/>
    </font>
    <font>
      <b val="true"/>
      <sz val="20"/>
      <color rgb="FF9C0006"/>
      <name val="Aptos Display"/>
      <family val="0"/>
      <charset val="1"/>
    </font>
    <font>
      <b val="true"/>
      <sz val="20"/>
      <color rgb="FF17365D"/>
      <name val="Aptos Display"/>
      <family val="0"/>
      <charset val="1"/>
    </font>
    <font>
      <b val="true"/>
      <sz val="20"/>
      <color rgb="FF9C6500"/>
      <name val="Aptos Display"/>
      <family val="0"/>
      <charset val="1"/>
    </font>
    <font>
      <b val="true"/>
      <sz val="11"/>
      <color rgb="FFFFFFFF"/>
      <name val="Aptos"/>
      <family val="0"/>
      <charset val="1"/>
    </font>
    <font>
      <b val="true"/>
      <sz val="12"/>
      <color rgb="FF006100"/>
      <name val="Aptos"/>
      <family val="0"/>
      <charset val="1"/>
    </font>
    <font>
      <b val="true"/>
      <sz val="10"/>
      <color rgb="FF17365D"/>
      <name val="Aptos"/>
      <family val="0"/>
      <charset val="1"/>
    </font>
    <font>
      <sz val="10"/>
      <color rgb="FF1F1F1F"/>
      <name val="Aptos"/>
      <family val="0"/>
      <charset val="1"/>
    </font>
    <font>
      <b val="true"/>
      <sz val="9"/>
      <color rgb="FFFFFFFF"/>
      <name val="Aptos"/>
      <family val="0"/>
      <charset val="1"/>
    </font>
    <font>
      <sz val="9"/>
      <color rgb="FF1F1F1F"/>
      <name val="Aptos"/>
      <family val="0"/>
      <charset val="1"/>
    </font>
    <font>
      <b val="true"/>
      <sz val="11"/>
      <color rgb="FF9C6500"/>
      <name val="Aptos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i val="true"/>
      <sz val="10"/>
      <color rgb="FF17365D"/>
      <name val="Aptos"/>
      <family val="0"/>
      <charset val="1"/>
    </font>
    <font>
      <sz val="10"/>
      <color rgb="FF0000FF"/>
      <name val="Aptos"/>
      <family val="0"/>
      <charset val="1"/>
    </font>
    <font>
      <i val="true"/>
      <sz val="9"/>
      <color rgb="FF666666"/>
      <name val="Aptos"/>
      <family val="0"/>
      <charset val="1"/>
    </font>
    <font>
      <b val="true"/>
      <sz val="11"/>
      <color theme="1"/>
      <name val="Calibri"/>
      <family val="2"/>
      <charset val="1"/>
    </font>
    <font>
      <b val="true"/>
      <sz val="11"/>
      <color theme="1"/>
      <name val="Segoe UI"/>
      <family val="0"/>
      <charset val="1"/>
    </font>
    <font>
      <sz val="10"/>
      <color rgb="FF000000"/>
      <name val="Aptos"/>
      <family val="0"/>
      <charset val="1"/>
    </font>
    <font>
      <b val="true"/>
      <sz val="10"/>
      <color rgb="FF000000"/>
      <name val="Aptos"/>
      <family val="0"/>
      <charset val="1"/>
    </font>
    <font>
      <sz val="11"/>
      <color theme="1"/>
      <name val="Segoe UI"/>
      <family val="0"/>
      <charset val="1"/>
    </font>
    <font>
      <sz val="9"/>
      <color rgb="FF0000FF"/>
      <name val="Aptos"/>
      <family val="0"/>
      <charset val="1"/>
    </font>
    <font>
      <b val="true"/>
      <sz val="10"/>
      <color rgb="FF9C0006"/>
      <name val="Aptos"/>
      <family val="0"/>
      <charset val="1"/>
    </font>
    <font>
      <b val="true"/>
      <sz val="11"/>
      <color rgb="FF000000"/>
      <name val="Calibri"/>
      <family val="0"/>
      <charset val="1"/>
    </font>
    <font>
      <b val="true"/>
      <sz val="9"/>
      <color rgb="FF17365D"/>
      <name val="Aptos"/>
      <family val="0"/>
      <charset val="1"/>
    </font>
    <font>
      <b val="true"/>
      <sz val="11"/>
      <color rgb="FF006100"/>
      <name val="Aptos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7365D"/>
        <bgColor rgb="FF333399"/>
      </patternFill>
    </fill>
    <fill>
      <patternFill patternType="solid">
        <fgColor rgb="FFD9EAF7"/>
        <bgColor rgb="FFD9E1F2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2F75B5"/>
        <bgColor rgb="FF4472C4"/>
      </patternFill>
    </fill>
    <fill>
      <patternFill patternType="solid">
        <fgColor rgb="FFE2F0D9"/>
        <bgColor rgb="FFD9EAF7"/>
      </patternFill>
    </fill>
    <fill>
      <patternFill patternType="solid">
        <fgColor rgb="FFEEF5FB"/>
        <bgColor rgb="FFF7F9FB"/>
      </patternFill>
    </fill>
    <fill>
      <patternFill patternType="solid">
        <fgColor rgb="FFF7F9FB"/>
        <bgColor rgb="FFEEF5FB"/>
      </patternFill>
    </fill>
    <fill>
      <patternFill patternType="solid">
        <fgColor rgb="FFFFFFFF"/>
        <bgColor rgb="FFF7F9FB"/>
      </patternFill>
    </fill>
    <fill>
      <patternFill patternType="solid">
        <fgColor theme="5"/>
        <bgColor rgb="FFFF8080"/>
      </patternFill>
    </fill>
    <fill>
      <patternFill patternType="solid">
        <fgColor theme="4" tint="0.3999"/>
        <bgColor rgb="FF969696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E1F2"/>
      </bottom>
      <diagonal/>
    </border>
    <border diagonalUp="false" diagonalDown="false">
      <left/>
      <right/>
      <top/>
      <bottom style="medium">
        <color rgb="FF17365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7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3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8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5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3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1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21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1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1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5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21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21" fillId="1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21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21" fillId="1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21" fillId="1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1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1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1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5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21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2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8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9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5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9" fontId="15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15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3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32" fillId="7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7365D"/>
          <bgColor rgb="FF000000"/>
        </patternFill>
      </fill>
    </dxf>
    <dxf>
      <fill>
        <patternFill patternType="solid">
          <fgColor rgb="FF8FAADC"/>
          <bgColor rgb="FF000000"/>
        </patternFill>
      </fill>
    </dxf>
    <dxf>
      <fill>
        <patternFill patternType="solid">
          <fgColor rgb="FFEEF5F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>
          <bgColor rgb="FFFCE4D6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D9E1F2"/>
      <rgbColor rgb="FF8B8B8B"/>
      <rgbColor rgb="FF8FAADC"/>
      <rgbColor rgb="FF993366"/>
      <rgbColor rgb="FFFFF2CC"/>
      <rgbColor rgb="FFD9EAF7"/>
      <rgbColor rgb="FF660066"/>
      <rgbColor rgb="FFFF8080"/>
      <rgbColor rgb="FF2F75B5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5FB"/>
      <rgbColor rgb="FFE2F0D9"/>
      <rgbColor rgb="FFF7F9FB"/>
      <rgbColor rgb="FF99CCFF"/>
      <rgbColor rgb="FFFF99CC"/>
      <rgbColor rgb="FFCC99FF"/>
      <rgbColor rgb="FFFCE4D6"/>
      <rgbColor rgb="FF4472C4"/>
      <rgbColor rgb="FF33CCCC"/>
      <rgbColor rgb="FF99CC00"/>
      <rgbColor rgb="FFFFCC00"/>
      <rgbColor rgb="FFFF9900"/>
      <rgbColor rgb="FFED7D31"/>
      <rgbColor rgb="FF666666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n-US" sz="1800" spc="-1" strike="noStrike">
                <a:solidFill>
                  <a:srgbClr val="000000"/>
                </a:solidFill>
                <a:latin typeface="Calibri"/>
              </a:rPr>
              <a:t>Gewichtete Punktzahl zulässiger Optionen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1"/>
        <c:ser>
          <c:idx val="0"/>
          <c:order val="0"/>
          <c:tx>
            <c:strRef>
              <c:f>Übersicht!M3</c:f>
              <c:strCache>
                <c:ptCount val="1"/>
                <c:pt idx="0">
                  <c:v>Punkte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Pt>
            <c:idx val="0"/>
            <c:spPr>
              <a:solidFill>
                <a:srgbClr val="4472c4"/>
              </a:solidFill>
              <a:ln w="0">
                <a:noFill/>
              </a:ln>
            </c:spPr>
          </c:dPt>
          <c:dPt>
            <c:idx val="1"/>
            <c:spPr>
              <a:solidFill>
                <a:srgbClr val="ed7d31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Übersicht!$L$4:$L$5</c:f>
              <c:strCache>
                <c:ptCount val="2"/>
                <c:pt idx="0">
                  <c:v>Option 2</c:v>
                </c:pt>
                <c:pt idx="1">
                  <c:v>Option 4</c:v>
                </c:pt>
              </c:strCache>
            </c:strRef>
          </c:cat>
          <c:val>
            <c:numRef>
              <c:f>Übersicht!$M$4:$M$5</c:f>
              <c:numCache>
                <c:formatCode>0.00</c:formatCode>
                <c:ptCount val="2"/>
                <c:pt idx="0">
                  <c:v>3.7</c:v>
                </c:pt>
                <c:pt idx="1">
                  <c:v>4.45</c:v>
                </c:pt>
              </c:numCache>
            </c:numRef>
          </c:val>
        </c:ser>
        <c:gapWidth val="150"/>
        <c:overlap val="0"/>
        <c:axId val="53002713"/>
        <c:axId val="76669127"/>
      </c:barChart>
      <c:catAx>
        <c:axId val="53002713"/>
        <c:scaling>
          <c:orientation val="minMax"/>
        </c:scaling>
        <c:delete val="1"/>
        <c:axPos val="b"/>
        <c:title>
          <c:tx>
            <c:rich>
              <a:bodyPr rot="-5400000"/>
              <a:lstStyle/>
              <a:p>
                <a:pPr>
                  <a:defRPr b="1" lang="en-US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n-US" sz="1000" spc="-1" strike="noStrike">
                    <a:solidFill>
                      <a:srgbClr val="000000"/>
                    </a:solidFill>
                    <a:latin typeface="Calibri"/>
                  </a:rPr>
                  <a:t>Punkte (max. 5)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669127"/>
        <c:auto val="1"/>
        <c:lblAlgn val="ctr"/>
        <c:lblOffset val="100"/>
        <c:noMultiLvlLbl val="0"/>
      </c:catAx>
      <c:valAx>
        <c:axId val="76669127"/>
        <c:scaling>
          <c:orientation val="minMax"/>
        </c:scaling>
        <c:delete val="1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lang="en-US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n-US" sz="1000" spc="-1" strike="noStrike">
                    <a:solidFill>
                      <a:srgbClr val="000000"/>
                    </a:solidFill>
                    <a:latin typeface="Calibri"/>
                  </a:rPr>
                  <a:t>None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002713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485640</xdr:colOff>
      <xdr:row>7</xdr:row>
      <xdr:rowOff>142920</xdr:rowOff>
    </xdr:from>
    <xdr:to>
      <xdr:col>14</xdr:col>
      <xdr:colOff>270720</xdr:colOff>
      <xdr:row>15</xdr:row>
      <xdr:rowOff>47880</xdr:rowOff>
    </xdr:to>
    <xdr:graphicFrame>
      <xdr:nvGraphicFramePr>
        <xdr:cNvPr id="0" name="Chart 1"/>
        <xdr:cNvGraphicFramePr/>
      </xdr:nvGraphicFramePr>
      <xdr:xfrm>
        <a:off x="9930600" y="1685880"/>
        <a:ext cx="2699640" cy="16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DatenlueckenTabelle" displayName="DatenlueckenTabelle" ref="A1:J4" headerRowCount="1" totalsRowCount="0" totalsRowShown="0">
  <autoFilter ref="A1:J4"/>
  <tableColumns count="10">
    <tableColumn id="1" name="Offene Information"/>
    <tableColumn id="2" name="Betroffene Option"/>
    <tableColumn id="3" name="Auswirkung"/>
    <tableColumn id="4" name="Zuständige Rolle"/>
    <tableColumn id="5" name="Klärung bis"/>
    <tableColumn id="6" name="Status"/>
    <tableColumn id="7" name="Priorität der Klärung"/>
    <tableColumn id="8" name="Erforderlicher Nachweis"/>
    <tableColumn id="9" name="Auswirkung auf Entscheidungsreife"/>
    <tableColumn id="10" name="Ergebnis oder Rückmeldung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10" min="2" style="0" width="14"/>
    <col collapsed="false" customWidth="true" hidden="false" outlineLevel="0" max="13" min="12" style="0" width="12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L3" s="0" t="s">
        <v>2</v>
      </c>
      <c r="M3" s="0" t="s">
        <v>3</v>
      </c>
    </row>
    <row r="4" customFormat="false" ht="15" hidden="false" customHeight="false" outlineLevel="0" collapsed="false">
      <c r="A4" s="3" t="s">
        <v>4</v>
      </c>
      <c r="B4" s="3"/>
      <c r="C4" s="3"/>
      <c r="D4" s="3" t="s">
        <v>5</v>
      </c>
      <c r="E4" s="3"/>
      <c r="F4" s="3"/>
      <c r="G4" s="3" t="s">
        <v>6</v>
      </c>
      <c r="H4" s="3"/>
      <c r="I4" s="3"/>
      <c r="J4" s="3"/>
      <c r="L4" s="4" t="s">
        <v>7</v>
      </c>
      <c r="M4" s="4" t="n">
        <f aca="false">Optionsvergleich!H12</f>
        <v>3.7</v>
      </c>
    </row>
    <row r="5" customFormat="false" ht="15" hidden="false" customHeight="false" outlineLevel="0" collapsed="false">
      <c r="A5" s="5" t="s">
        <v>8</v>
      </c>
      <c r="B5" s="5"/>
      <c r="C5" s="5"/>
      <c r="D5" s="6" t="s">
        <v>9</v>
      </c>
      <c r="E5" s="6"/>
      <c r="F5" s="6"/>
      <c r="G5" s="7" t="s">
        <v>10</v>
      </c>
      <c r="H5" s="7"/>
      <c r="I5" s="7"/>
      <c r="J5" s="7"/>
      <c r="L5" s="4" t="s">
        <v>11</v>
      </c>
      <c r="M5" s="4" t="n">
        <f aca="false">Optionsvergleich!J12</f>
        <v>4.45</v>
      </c>
    </row>
    <row r="6" customFormat="false" ht="15" hidden="false" customHeight="false" outlineLevel="0" collapsed="false">
      <c r="A6" s="5"/>
      <c r="B6" s="5"/>
      <c r="C6" s="5"/>
      <c r="D6" s="6"/>
      <c r="E6" s="6"/>
      <c r="F6" s="6"/>
      <c r="G6" s="7"/>
      <c r="H6" s="7"/>
      <c r="I6" s="7"/>
      <c r="J6" s="7"/>
    </row>
    <row r="7" customFormat="false" ht="15" hidden="false" customHeight="false" outlineLevel="0" collapsed="false">
      <c r="A7" s="5"/>
      <c r="B7" s="5"/>
      <c r="C7" s="5"/>
      <c r="D7" s="6"/>
      <c r="E7" s="6"/>
      <c r="F7" s="6"/>
      <c r="G7" s="7"/>
      <c r="H7" s="7"/>
      <c r="I7" s="7"/>
      <c r="J7" s="7"/>
    </row>
    <row r="9" customFormat="false" ht="22.5" hidden="false" customHeight="true" outlineLevel="0" collapsed="false">
      <c r="A9" s="8" t="s">
        <v>12</v>
      </c>
      <c r="B9" s="8"/>
      <c r="C9" s="8"/>
      <c r="D9" s="8"/>
      <c r="E9" s="8"/>
      <c r="F9" s="8"/>
      <c r="G9" s="8"/>
      <c r="H9" s="8"/>
      <c r="I9" s="8"/>
      <c r="J9" s="8"/>
    </row>
    <row r="10" customFormat="false" ht="15" hidden="false" customHeight="true" outlineLevel="0" collapsed="false">
      <c r="A10" s="9" t="s">
        <v>13</v>
      </c>
      <c r="B10" s="9"/>
      <c r="C10" s="9"/>
      <c r="D10" s="9"/>
      <c r="E10" s="9"/>
      <c r="F10" s="9"/>
      <c r="G10" s="9"/>
      <c r="H10" s="9"/>
      <c r="I10" s="9"/>
      <c r="J10" s="9"/>
    </row>
    <row r="11" customFormat="false" ht="15" hidden="false" customHeight="false" outlineLevel="0" collapsed="false">
      <c r="A11" s="9"/>
      <c r="B11" s="9"/>
      <c r="C11" s="9"/>
      <c r="D11" s="9"/>
      <c r="E11" s="9"/>
      <c r="F11" s="9"/>
      <c r="G11" s="9"/>
      <c r="H11" s="9"/>
      <c r="I11" s="9"/>
      <c r="J11" s="9"/>
    </row>
    <row r="12" customFormat="false" ht="15" hidden="false" customHeight="false" outlineLevel="0" collapsed="false">
      <c r="A12" s="9"/>
      <c r="B12" s="9"/>
      <c r="C12" s="9"/>
      <c r="D12" s="9"/>
      <c r="E12" s="9"/>
      <c r="F12" s="9"/>
      <c r="G12" s="9"/>
      <c r="H12" s="9"/>
      <c r="I12" s="9"/>
      <c r="J12" s="9"/>
    </row>
    <row r="14" customFormat="false" ht="22.5" hidden="false" customHeight="true" outlineLevel="0" collapsed="false">
      <c r="A14" s="8" t="s">
        <v>14</v>
      </c>
      <c r="B14" s="8"/>
      <c r="C14" s="8"/>
      <c r="D14" s="8"/>
      <c r="E14" s="8"/>
      <c r="F14" s="8" t="s">
        <v>15</v>
      </c>
      <c r="G14" s="8"/>
      <c r="H14" s="8"/>
      <c r="I14" s="8"/>
      <c r="J14" s="8"/>
    </row>
    <row r="15" customFormat="false" ht="15" hidden="false" customHeight="true" outlineLevel="0" collapsed="false">
      <c r="A15" s="10" t="s">
        <v>16</v>
      </c>
      <c r="B15" s="10"/>
      <c r="C15" s="10"/>
      <c r="D15" s="10"/>
      <c r="E15" s="10"/>
      <c r="F15" s="11" t="s">
        <v>17</v>
      </c>
      <c r="G15" s="11"/>
      <c r="H15" s="11"/>
      <c r="I15" s="11"/>
      <c r="J15" s="11"/>
    </row>
    <row r="16" customFormat="false" ht="15" hidden="false" customHeight="false" outlineLevel="0" collapsed="false">
      <c r="A16" s="10"/>
      <c r="B16" s="10"/>
      <c r="C16" s="10"/>
      <c r="D16" s="10"/>
      <c r="E16" s="10"/>
      <c r="F16" s="11"/>
      <c r="G16" s="11"/>
      <c r="H16" s="11"/>
      <c r="I16" s="11"/>
      <c r="J16" s="11"/>
    </row>
    <row r="17" customFormat="false" ht="15" hidden="false" customHeight="false" outlineLevel="0" collapsed="false">
      <c r="A17" s="10"/>
      <c r="B17" s="10"/>
      <c r="C17" s="10"/>
      <c r="D17" s="10"/>
      <c r="E17" s="10"/>
      <c r="F17" s="11"/>
      <c r="G17" s="11"/>
      <c r="H17" s="11"/>
      <c r="I17" s="11"/>
      <c r="J17" s="11"/>
    </row>
    <row r="18" customFormat="false" ht="15" hidden="false" customHeight="false" outlineLevel="0" collapsed="false">
      <c r="A18" s="10"/>
      <c r="B18" s="10"/>
      <c r="C18" s="10"/>
      <c r="D18" s="10"/>
      <c r="E18" s="10"/>
      <c r="F18" s="11"/>
      <c r="G18" s="11"/>
      <c r="H18" s="11"/>
      <c r="I18" s="11"/>
      <c r="J18" s="11"/>
    </row>
    <row r="20" customFormat="false" ht="22.5" hidden="false" customHeight="true" outlineLevel="0" collapsed="false">
      <c r="A20" s="8" t="s">
        <v>18</v>
      </c>
      <c r="B20" s="8"/>
      <c r="C20" s="8"/>
      <c r="D20" s="8"/>
      <c r="E20" s="8"/>
      <c r="F20" s="8"/>
      <c r="G20" s="8"/>
      <c r="H20" s="8"/>
      <c r="I20" s="8"/>
      <c r="J20" s="8"/>
    </row>
    <row r="21" customFormat="false" ht="15" hidden="false" customHeight="false" outlineLevel="0" collapsed="false">
      <c r="A21" s="12" t="s">
        <v>19</v>
      </c>
      <c r="B21" s="12" t="s">
        <v>20</v>
      </c>
      <c r="C21" s="12" t="s">
        <v>21</v>
      </c>
    </row>
    <row r="22" customFormat="false" ht="15" hidden="false" customHeight="true" outlineLevel="0" collapsed="false">
      <c r="A22" s="13" t="s">
        <v>22</v>
      </c>
      <c r="B22" s="13" t="s">
        <v>23</v>
      </c>
      <c r="C22" s="13"/>
      <c r="D22" s="13"/>
      <c r="E22" s="13"/>
      <c r="F22" s="13"/>
      <c r="G22" s="13"/>
      <c r="H22" s="14"/>
      <c r="I22" s="14"/>
      <c r="J22" s="14"/>
    </row>
    <row r="23" customFormat="false" ht="15" hidden="false" customHeight="true" outlineLevel="0" collapsed="false">
      <c r="A23" s="15" t="s">
        <v>24</v>
      </c>
      <c r="B23" s="15" t="s">
        <v>25</v>
      </c>
      <c r="C23" s="15"/>
      <c r="D23" s="15"/>
      <c r="E23" s="15"/>
      <c r="F23" s="15"/>
      <c r="G23" s="15"/>
      <c r="H23" s="14"/>
      <c r="I23" s="14"/>
      <c r="J23" s="14"/>
    </row>
    <row r="24" customFormat="false" ht="15" hidden="false" customHeight="true" outlineLevel="0" collapsed="false">
      <c r="A24" s="13" t="s">
        <v>26</v>
      </c>
      <c r="B24" s="13" t="s">
        <v>27</v>
      </c>
      <c r="C24" s="13"/>
      <c r="D24" s="13"/>
      <c r="E24" s="13"/>
      <c r="F24" s="13"/>
      <c r="G24" s="13"/>
      <c r="H24" s="14"/>
      <c r="I24" s="14"/>
      <c r="J24" s="14"/>
    </row>
    <row r="25" customFormat="false" ht="15" hidden="false" customHeight="true" outlineLevel="0" collapsed="false">
      <c r="A25" s="15" t="s">
        <v>28</v>
      </c>
      <c r="B25" s="15" t="s">
        <v>29</v>
      </c>
      <c r="C25" s="15"/>
      <c r="D25" s="15"/>
      <c r="E25" s="15"/>
      <c r="F25" s="15"/>
      <c r="G25" s="15"/>
      <c r="H25" s="14"/>
      <c r="I25" s="14"/>
      <c r="J25" s="14"/>
    </row>
    <row r="27" customFormat="false" ht="22.5" hidden="false" customHeight="true" outlineLevel="0" collapsed="false">
      <c r="A27" s="8" t="s">
        <v>30</v>
      </c>
      <c r="B27" s="8"/>
      <c r="C27" s="8"/>
      <c r="D27" s="8"/>
      <c r="E27" s="8"/>
      <c r="F27" s="8"/>
      <c r="G27" s="8"/>
      <c r="H27" s="8"/>
      <c r="I27" s="8"/>
      <c r="J27" s="8"/>
    </row>
    <row r="28" customFormat="false" ht="15" hidden="false" customHeight="true" outlineLevel="0" collapsed="false">
      <c r="A28" s="16" t="s">
        <v>31</v>
      </c>
      <c r="B28" s="16"/>
      <c r="C28" s="16"/>
      <c r="D28" s="16"/>
      <c r="E28" s="16"/>
      <c r="F28" s="16"/>
      <c r="G28" s="16"/>
      <c r="H28" s="16"/>
      <c r="I28" s="16"/>
      <c r="J28" s="16"/>
    </row>
    <row r="29" customFormat="false" ht="15" hidden="false" customHeight="false" outlineLevel="0" collapsed="false">
      <c r="A29" s="16"/>
      <c r="B29" s="16"/>
      <c r="C29" s="16"/>
      <c r="D29" s="16"/>
      <c r="E29" s="16"/>
      <c r="F29" s="16"/>
      <c r="G29" s="16"/>
      <c r="H29" s="16"/>
      <c r="I29" s="16"/>
      <c r="J29" s="16"/>
    </row>
  </sheetData>
  <mergeCells count="25">
    <mergeCell ref="A1:J1"/>
    <mergeCell ref="A2:J2"/>
    <mergeCell ref="A4:C4"/>
    <mergeCell ref="D4:F4"/>
    <mergeCell ref="G4:J4"/>
    <mergeCell ref="A5:C7"/>
    <mergeCell ref="D5:F7"/>
    <mergeCell ref="G5:J7"/>
    <mergeCell ref="A9:J9"/>
    <mergeCell ref="A10:J12"/>
    <mergeCell ref="A14:E14"/>
    <mergeCell ref="F14:J14"/>
    <mergeCell ref="A15:E18"/>
    <mergeCell ref="F15:J18"/>
    <mergeCell ref="A20:J20"/>
    <mergeCell ref="B22:G22"/>
    <mergeCell ref="H22:J22"/>
    <mergeCell ref="B23:G23"/>
    <mergeCell ref="H23:J23"/>
    <mergeCell ref="B24:G24"/>
    <mergeCell ref="H24:J24"/>
    <mergeCell ref="B25:G25"/>
    <mergeCell ref="H25:J25"/>
    <mergeCell ref="A27:J27"/>
    <mergeCell ref="A28:J2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5"/>
  <sheetViews>
    <sheetView showFormulas="false" showGridLines="false" showRowColHeaders="true" showZeros="true" rightToLeft="false" tabSelected="true" showOutlineSymbols="true" defaultGridColor="true" view="normal" topLeftCell="A4" colorId="64" zoomScale="100" zoomScaleNormal="100" zoomScalePageLayoutView="100" workbookViewId="0">
      <selection pane="topLeft" activeCell="A4" activeCellId="0" sqref="A4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1"/>
    <col collapsed="false" customWidth="true" hidden="false" outlineLevel="0" max="3" min="2" style="0" width="24"/>
    <col collapsed="false" customWidth="true" hidden="false" outlineLevel="0" max="4" min="4" style="0" width="48"/>
  </cols>
  <sheetData>
    <row r="1" customFormat="false" ht="31.5" hidden="false" customHeight="true" outlineLevel="0" collapsed="false">
      <c r="A1" s="17" t="s">
        <v>32</v>
      </c>
      <c r="B1" s="17"/>
      <c r="C1" s="17"/>
      <c r="D1" s="17"/>
    </row>
    <row r="2" customFormat="false" ht="30" hidden="false" customHeight="true" outlineLevel="0" collapsed="false">
      <c r="A2" s="18" t="s">
        <v>33</v>
      </c>
      <c r="B2" s="18"/>
      <c r="C2" s="18"/>
      <c r="D2" s="18"/>
    </row>
    <row r="4" customFormat="false" ht="22.5" hidden="false" customHeight="true" outlineLevel="0" collapsed="false">
      <c r="A4" s="8" t="s">
        <v>34</v>
      </c>
      <c r="B4" s="8"/>
      <c r="C4" s="8"/>
      <c r="D4" s="8"/>
    </row>
    <row r="5" customFormat="false" ht="24" hidden="false" customHeight="true" outlineLevel="0" collapsed="false">
      <c r="A5" s="19" t="s">
        <v>35</v>
      </c>
      <c r="B5" s="20" t="s">
        <v>36</v>
      </c>
      <c r="C5" s="20"/>
      <c r="D5" s="20"/>
    </row>
    <row r="6" customFormat="false" ht="36" hidden="false" customHeight="true" outlineLevel="0" collapsed="false">
      <c r="A6" s="19" t="s">
        <v>37</v>
      </c>
      <c r="B6" s="20" t="s">
        <v>38</v>
      </c>
      <c r="C6" s="20"/>
      <c r="D6" s="20"/>
    </row>
    <row r="7" customFormat="false" ht="36" hidden="false" customHeight="true" outlineLevel="0" collapsed="false">
      <c r="A7" s="19" t="s">
        <v>39</v>
      </c>
      <c r="B7" s="20" t="s">
        <v>40</v>
      </c>
      <c r="C7" s="20"/>
      <c r="D7" s="20"/>
    </row>
    <row r="8" customFormat="false" ht="24" hidden="false" customHeight="true" outlineLevel="0" collapsed="false">
      <c r="A8" s="19" t="s">
        <v>41</v>
      </c>
      <c r="B8" s="21" t="n">
        <v>46325</v>
      </c>
      <c r="C8" s="21"/>
      <c r="D8" s="21"/>
    </row>
    <row r="9" customFormat="false" ht="24" hidden="false" customHeight="true" outlineLevel="0" collapsed="false">
      <c r="A9" s="19" t="s">
        <v>42</v>
      </c>
      <c r="B9" s="20" t="s">
        <v>43</v>
      </c>
      <c r="C9" s="20"/>
      <c r="D9" s="20"/>
    </row>
    <row r="10" customFormat="false" ht="24" hidden="false" customHeight="true" outlineLevel="0" collapsed="false">
      <c r="A10" s="19" t="s">
        <v>44</v>
      </c>
      <c r="B10" s="20" t="s">
        <v>45</v>
      </c>
      <c r="C10" s="20"/>
      <c r="D10" s="20"/>
    </row>
    <row r="11" customFormat="false" ht="24" hidden="false" customHeight="true" outlineLevel="0" collapsed="false">
      <c r="A11" s="19" t="s">
        <v>46</v>
      </c>
      <c r="B11" s="20" t="s">
        <v>47</v>
      </c>
      <c r="C11" s="20"/>
      <c r="D11" s="20"/>
    </row>
    <row r="12" customFormat="false" ht="24" hidden="false" customHeight="true" outlineLevel="0" collapsed="false">
      <c r="A12" s="19" t="s">
        <v>48</v>
      </c>
      <c r="B12" s="21" t="n">
        <v>46310</v>
      </c>
      <c r="C12" s="21"/>
      <c r="D12" s="21"/>
    </row>
    <row r="13" customFormat="false" ht="24" hidden="false" customHeight="true" outlineLevel="0" collapsed="false">
      <c r="A13" s="19" t="s">
        <v>49</v>
      </c>
      <c r="B13" s="20" t="s">
        <v>50</v>
      </c>
      <c r="C13" s="20"/>
      <c r="D13" s="20"/>
    </row>
    <row r="14" customFormat="false" ht="36" hidden="false" customHeight="true" outlineLevel="0" collapsed="false">
      <c r="A14" s="19" t="s">
        <v>51</v>
      </c>
      <c r="B14" s="20" t="s">
        <v>52</v>
      </c>
      <c r="C14" s="20"/>
      <c r="D14" s="20"/>
    </row>
    <row r="15" customFormat="false" ht="24" hidden="false" customHeight="true" outlineLevel="0" collapsed="false">
      <c r="A15" s="19" t="s">
        <v>53</v>
      </c>
      <c r="B15" s="20" t="s">
        <v>54</v>
      </c>
      <c r="C15" s="20"/>
      <c r="D15" s="20"/>
    </row>
    <row r="16" customFormat="false" ht="36" hidden="false" customHeight="true" outlineLevel="0" collapsed="false">
      <c r="A16" s="19" t="s">
        <v>55</v>
      </c>
      <c r="B16" s="22" t="s">
        <v>13</v>
      </c>
      <c r="C16" s="22"/>
      <c r="D16" s="22"/>
    </row>
    <row r="17" customFormat="false" ht="24" hidden="false" customHeight="true" outlineLevel="0" collapsed="false">
      <c r="A17" s="19" t="s">
        <v>56</v>
      </c>
      <c r="B17" s="23" t="s">
        <v>57</v>
      </c>
      <c r="C17" s="23"/>
      <c r="D17" s="23"/>
    </row>
    <row r="18" customFormat="false" ht="24" hidden="false" customHeight="true" outlineLevel="0" collapsed="false">
      <c r="A18" s="19" t="s">
        <v>58</v>
      </c>
      <c r="B18" s="23" t="s">
        <v>59</v>
      </c>
      <c r="C18" s="24"/>
      <c r="D18" s="24"/>
    </row>
    <row r="19" customFormat="false" ht="36" hidden="false" customHeight="true" outlineLevel="0" collapsed="false">
      <c r="A19" s="19" t="s">
        <v>60</v>
      </c>
      <c r="B19" s="23" t="s">
        <v>61</v>
      </c>
      <c r="C19" s="23"/>
      <c r="D19" s="23"/>
    </row>
    <row r="21" customFormat="false" ht="22.5" hidden="false" customHeight="true" outlineLevel="0" collapsed="false">
      <c r="A21" s="8" t="s">
        <v>62</v>
      </c>
      <c r="B21" s="8"/>
      <c r="C21" s="8"/>
      <c r="D21" s="8"/>
    </row>
    <row r="22" customFormat="false" ht="33.75" hidden="false" customHeight="true" outlineLevel="0" collapsed="false">
      <c r="A22" s="25" t="s">
        <v>63</v>
      </c>
      <c r="B22" s="25"/>
      <c r="C22" s="25"/>
      <c r="D22" s="25"/>
    </row>
    <row r="25" customFormat="false" ht="16.5" hidden="false" customHeight="true" outlineLevel="0" collapsed="false"/>
  </sheetData>
  <mergeCells count="19">
    <mergeCell ref="A1:D1"/>
    <mergeCell ref="A2:D2"/>
    <mergeCell ref="A4:D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9:D19"/>
    <mergeCell ref="A21:D21"/>
    <mergeCell ref="A22:D22"/>
  </mergeCells>
  <dataValidations count="2">
    <dataValidation allowBlank="false" errorStyle="stop" operator="between" showDropDown="false" showErrorMessage="false" showInputMessage="false" sqref="B13" type="list">
      <formula1>"Entwurf,In fachlicher Vorbereitung,Zur Entscheidung vorgelegt,Entschieden,Zurückgestellt"</formula1>
      <formula2>0</formula2>
    </dataValidation>
    <dataValidation allowBlank="false" errorStyle="stop" operator="between" showDropDown="false" showErrorMessage="false" showInputMessage="false" sqref="B17:B18" type="list">
      <formula1>"Entscheidungsreif,Mit Auflagen entscheidungsreif,Nicht entscheidungsreif,Noch nicht bestätigt"</formula1>
      <formula2>0</formula2>
    </dataValidation>
  </dataValidations>
  <printOptions headings="false" gridLines="false" gridLinesSet="true" horizontalCentered="false" verticalCentered="false"/>
  <pageMargins left="0.3" right="0.3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B37"/>
  <sheetViews>
    <sheetView showFormulas="false" showGridLines="false" showRowColHeaders="true" showZeros="true" rightToLeft="false" tabSelected="false" showOutlineSymbols="true" defaultGridColor="true" view="normal" topLeftCell="A8" colorId="64" zoomScale="100" zoomScaleNormal="100" zoomScalePageLayoutView="100" workbookViewId="0">
      <selection pane="topLeft" activeCell="A8" activeCellId="0" sqref="A8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.86"/>
    <col collapsed="false" customWidth="true" hidden="false" outlineLevel="0" max="2" min="2" style="0" width="64.14"/>
    <col collapsed="false" customWidth="true" hidden="false" outlineLevel="0" max="3" min="3" style="0" width="61.86"/>
    <col collapsed="false" customWidth="true" hidden="false" outlineLevel="0" max="4" min="4" style="0" width="61.57"/>
    <col collapsed="false" customWidth="true" hidden="false" outlineLevel="0" max="5" min="5" style="0" width="21"/>
    <col collapsed="false" customWidth="true" hidden="false" outlineLevel="0" max="6" min="6" style="0" width="24.14"/>
    <col collapsed="false" customWidth="true" hidden="false" outlineLevel="0" max="7" min="7" style="0" width="18.57"/>
    <col collapsed="false" customWidth="true" hidden="false" outlineLevel="0" max="8" min="8" style="0" width="18.71"/>
    <col collapsed="false" customWidth="true" hidden="false" outlineLevel="0" max="9" min="9" style="0" width="22.86"/>
    <col collapsed="false" customWidth="true" hidden="false" outlineLevel="0" max="10" min="10" style="0" width="16.14"/>
  </cols>
  <sheetData>
    <row r="1" customFormat="false" ht="31.5" hidden="false" customHeight="true" outlineLevel="0" collapsed="false">
      <c r="A1" s="17" t="s">
        <v>64</v>
      </c>
      <c r="B1" s="17"/>
      <c r="C1" s="17"/>
      <c r="D1" s="17"/>
    </row>
    <row r="2" customFormat="false" ht="30" hidden="false" customHeight="true" outlineLevel="0" collapsed="false">
      <c r="A2" s="18" t="s">
        <v>65</v>
      </c>
      <c r="B2" s="18"/>
      <c r="C2" s="18"/>
      <c r="D2" s="18"/>
    </row>
    <row r="3" customFormat="false" ht="16.5" hidden="false" customHeight="true" outlineLevel="0" collapsed="false"/>
    <row r="4" customFormat="false" ht="22.5" hidden="false" customHeight="true" outlineLevel="0" collapsed="false">
      <c r="A4" s="8" t="s">
        <v>66</v>
      </c>
      <c r="B4" s="8"/>
      <c r="C4" s="8"/>
      <c r="D4" s="8"/>
    </row>
    <row r="5" customFormat="false" ht="16.5" hidden="false" customHeight="true" outlineLevel="0" collapsed="false">
      <c r="A5" s="26"/>
      <c r="B5" s="26" t="s">
        <v>67</v>
      </c>
      <c r="C5" s="26" t="s">
        <v>68</v>
      </c>
      <c r="D5" s="26" t="s">
        <v>69</v>
      </c>
    </row>
    <row r="6" customFormat="false" ht="27" hidden="false" customHeight="true" outlineLevel="0" collapsed="false">
      <c r="A6" s="19" t="s">
        <v>70</v>
      </c>
      <c r="B6" s="20" t="s">
        <v>71</v>
      </c>
      <c r="C6" s="20" t="s">
        <v>72</v>
      </c>
      <c r="D6" s="20" t="s">
        <v>73</v>
      </c>
    </row>
    <row r="7" customFormat="false" ht="27" hidden="false" customHeight="true" outlineLevel="0" collapsed="false">
      <c r="A7" s="19" t="s">
        <v>74</v>
      </c>
      <c r="B7" s="20" t="s">
        <v>75</v>
      </c>
      <c r="C7" s="20" t="s">
        <v>76</v>
      </c>
      <c r="D7" s="20" t="s">
        <v>77</v>
      </c>
    </row>
    <row r="8" customFormat="false" ht="37.5" hidden="false" customHeight="true" outlineLevel="0" collapsed="false">
      <c r="A8" s="19" t="s">
        <v>78</v>
      </c>
      <c r="B8" s="20" t="s">
        <v>79</v>
      </c>
      <c r="C8" s="20" t="s">
        <v>80</v>
      </c>
      <c r="D8" s="20" t="s">
        <v>81</v>
      </c>
    </row>
    <row r="9" customFormat="false" ht="27" hidden="false" customHeight="true" outlineLevel="0" collapsed="false">
      <c r="A9" s="19" t="s">
        <v>82</v>
      </c>
      <c r="B9" s="20" t="s">
        <v>83</v>
      </c>
      <c r="C9" s="27" t="s">
        <v>83</v>
      </c>
      <c r="D9" s="20" t="s">
        <v>84</v>
      </c>
    </row>
    <row r="10" customFormat="false" ht="27" hidden="false" customHeight="true" outlineLevel="0" collapsed="false">
      <c r="A10" s="19" t="s">
        <v>85</v>
      </c>
      <c r="B10" s="28" t="n">
        <v>180000</v>
      </c>
      <c r="C10" s="29" t="n">
        <v>140000</v>
      </c>
      <c r="D10" s="28" t="n">
        <v>95000</v>
      </c>
    </row>
    <row r="11" customFormat="false" ht="27" hidden="false" customHeight="true" outlineLevel="0" collapsed="false">
      <c r="A11" s="19" t="s">
        <v>86</v>
      </c>
      <c r="B11" s="30" t="n">
        <v>4</v>
      </c>
      <c r="C11" s="31" t="n">
        <v>3</v>
      </c>
      <c r="D11" s="30" t="n">
        <v>2.5</v>
      </c>
    </row>
    <row r="12" customFormat="false" ht="27" hidden="false" customHeight="true" outlineLevel="0" collapsed="false">
      <c r="A12" s="19" t="s">
        <v>87</v>
      </c>
      <c r="B12" s="30" t="n">
        <v>1.5</v>
      </c>
      <c r="C12" s="31" t="n">
        <v>1.5</v>
      </c>
      <c r="D12" s="30" t="n">
        <v>1</v>
      </c>
    </row>
    <row r="13" customFormat="false" ht="27" hidden="false" customHeight="true" outlineLevel="0" collapsed="false">
      <c r="A13" s="19" t="s">
        <v>88</v>
      </c>
      <c r="B13" s="21" t="n">
        <v>46568</v>
      </c>
      <c r="C13" s="32" t="n">
        <v>46477</v>
      </c>
      <c r="D13" s="21" t="n">
        <v>46538</v>
      </c>
    </row>
    <row r="14" customFormat="false" ht="27" hidden="false" customHeight="true" outlineLevel="0" collapsed="false">
      <c r="A14" s="19" t="s">
        <v>89</v>
      </c>
      <c r="B14" s="20" t="s">
        <v>90</v>
      </c>
      <c r="C14" s="27" t="s">
        <v>91</v>
      </c>
      <c r="D14" s="20" t="s">
        <v>92</v>
      </c>
    </row>
    <row r="15" customFormat="false" ht="27" hidden="false" customHeight="true" outlineLevel="0" collapsed="false">
      <c r="A15" s="19" t="s">
        <v>93</v>
      </c>
      <c r="B15" s="28" t="n">
        <v>110000</v>
      </c>
      <c r="C15" s="27" t="s">
        <v>94</v>
      </c>
      <c r="D15" s="28" t="n">
        <v>70000</v>
      </c>
    </row>
    <row r="16" customFormat="false" ht="27" hidden="false" customHeight="true" outlineLevel="0" collapsed="false">
      <c r="A16" s="19" t="s">
        <v>95</v>
      </c>
      <c r="B16" s="20" t="s">
        <v>96</v>
      </c>
      <c r="C16" s="27" t="s">
        <v>97</v>
      </c>
      <c r="D16" s="20" t="s">
        <v>98</v>
      </c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33"/>
      <c r="BE16" s="33"/>
      <c r="BF16" s="33"/>
      <c r="BG16" s="33"/>
      <c r="BH16" s="33"/>
      <c r="BI16" s="33"/>
      <c r="BJ16" s="33"/>
      <c r="BK16" s="33"/>
      <c r="BL16" s="33"/>
      <c r="BM16" s="33"/>
      <c r="BN16" s="33"/>
      <c r="BO16" s="33"/>
      <c r="BP16" s="33"/>
      <c r="BQ16" s="33"/>
      <c r="BR16" s="33"/>
      <c r="BS16" s="33"/>
      <c r="BT16" s="33"/>
      <c r="BU16" s="33"/>
      <c r="BV16" s="33"/>
      <c r="BW16" s="33"/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3"/>
      <c r="CP16" s="33"/>
      <c r="CQ16" s="33"/>
      <c r="CR16" s="33"/>
      <c r="CS16" s="33"/>
      <c r="CT16" s="33"/>
      <c r="CU16" s="33"/>
      <c r="CV16" s="33"/>
      <c r="CW16" s="33"/>
      <c r="CX16" s="33"/>
      <c r="CY16" s="33"/>
      <c r="CZ16" s="33"/>
      <c r="DA16" s="33"/>
      <c r="DB16" s="33"/>
    </row>
    <row r="17" s="35" customFormat="true" ht="27" hidden="false" customHeight="true" outlineLevel="0" collapsed="false">
      <c r="A17" s="34" t="s">
        <v>99</v>
      </c>
      <c r="B17" s="20" t="s">
        <v>100</v>
      </c>
      <c r="C17" s="27" t="s">
        <v>101</v>
      </c>
      <c r="D17" s="20" t="s">
        <v>98</v>
      </c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  <c r="BC17" s="33"/>
      <c r="BD17" s="33"/>
      <c r="BE17" s="33"/>
      <c r="BF17" s="33"/>
      <c r="BG17" s="33"/>
      <c r="BH17" s="33"/>
      <c r="BI17" s="33"/>
      <c r="BJ17" s="33"/>
      <c r="BK17" s="33"/>
      <c r="BL17" s="33"/>
      <c r="BM17" s="33"/>
      <c r="BN17" s="33"/>
      <c r="BO17" s="33"/>
      <c r="BP17" s="33"/>
      <c r="BQ17" s="33"/>
      <c r="BR17" s="33"/>
      <c r="BS17" s="33"/>
      <c r="BT17" s="33"/>
      <c r="BU17" s="33"/>
      <c r="BV17" s="33"/>
      <c r="BW17" s="33"/>
      <c r="BX17" s="33"/>
      <c r="BY17" s="33"/>
      <c r="BZ17" s="33"/>
      <c r="CA17" s="33"/>
      <c r="CB17" s="33"/>
      <c r="CC17" s="33"/>
      <c r="CD17" s="33"/>
      <c r="CE17" s="33"/>
      <c r="CF17" s="33"/>
      <c r="CG17" s="33"/>
      <c r="CH17" s="33"/>
      <c r="CI17" s="33"/>
      <c r="CJ17" s="33"/>
      <c r="CK17" s="33"/>
      <c r="CL17" s="33"/>
      <c r="CM17" s="33"/>
      <c r="CN17" s="33"/>
      <c r="CO17" s="33"/>
      <c r="CP17" s="33"/>
      <c r="CQ17" s="33"/>
      <c r="CR17" s="33"/>
      <c r="CS17" s="33"/>
      <c r="CT17" s="33"/>
      <c r="CU17" s="33"/>
      <c r="CV17" s="33"/>
      <c r="CW17" s="33"/>
      <c r="CX17" s="33"/>
      <c r="CY17" s="33"/>
      <c r="CZ17" s="33"/>
      <c r="DA17" s="33"/>
      <c r="DB17" s="33"/>
    </row>
    <row r="18" customFormat="false" ht="27" hidden="false" customHeight="true" outlineLevel="0" collapsed="false">
      <c r="A18" s="19" t="s">
        <v>102</v>
      </c>
      <c r="B18" s="20" t="s">
        <v>98</v>
      </c>
      <c r="C18" s="27" t="s">
        <v>96</v>
      </c>
      <c r="D18" s="20" t="s">
        <v>98</v>
      </c>
    </row>
    <row r="19" customFormat="false" ht="27" hidden="false" customHeight="true" outlineLevel="0" collapsed="false">
      <c r="A19" s="19" t="s">
        <v>103</v>
      </c>
      <c r="B19" s="20" t="s">
        <v>98</v>
      </c>
      <c r="C19" s="27" t="s">
        <v>100</v>
      </c>
      <c r="D19" s="20" t="s">
        <v>96</v>
      </c>
    </row>
    <row r="20" customFormat="false" ht="37.5" hidden="false" customHeight="true" outlineLevel="0" collapsed="false">
      <c r="A20" s="19" t="s">
        <v>104</v>
      </c>
      <c r="B20" s="20" t="s">
        <v>105</v>
      </c>
      <c r="C20" s="27" t="s">
        <v>106</v>
      </c>
      <c r="D20" s="20" t="s">
        <v>107</v>
      </c>
    </row>
    <row r="21" customFormat="false" ht="27" hidden="false" customHeight="true" outlineLevel="0" collapsed="false">
      <c r="A21" s="19" t="s">
        <v>48</v>
      </c>
      <c r="B21" s="21" t="n">
        <v>46310</v>
      </c>
      <c r="C21" s="32" t="n">
        <v>46310</v>
      </c>
      <c r="D21" s="21" t="n">
        <v>46305</v>
      </c>
    </row>
    <row r="22" customFormat="false" ht="27" hidden="false" customHeight="true" outlineLevel="0" collapsed="false">
      <c r="A22" s="19" t="s">
        <v>108</v>
      </c>
      <c r="B22" s="20" t="s">
        <v>109</v>
      </c>
      <c r="C22" s="27" t="s">
        <v>110</v>
      </c>
      <c r="D22" s="20" t="s">
        <v>111</v>
      </c>
    </row>
    <row r="23" customFormat="false" ht="37.5" hidden="false" customHeight="true" outlineLevel="0" collapsed="false">
      <c r="A23" s="19" t="s">
        <v>112</v>
      </c>
      <c r="B23" s="20" t="s">
        <v>113</v>
      </c>
      <c r="C23" s="27" t="s">
        <v>114</v>
      </c>
      <c r="D23" s="20" t="s">
        <v>115</v>
      </c>
    </row>
    <row r="24" customFormat="false" ht="27" hidden="false" customHeight="true" outlineLevel="0" collapsed="false">
      <c r="A24" s="19" t="s">
        <v>116</v>
      </c>
      <c r="B24" s="20" t="s">
        <v>117</v>
      </c>
      <c r="C24" s="27" t="s">
        <v>118</v>
      </c>
      <c r="D24" s="20" t="s">
        <v>119</v>
      </c>
    </row>
    <row r="25" customFormat="false" ht="37.5" hidden="false" customHeight="true" outlineLevel="0" collapsed="false">
      <c r="A25" s="19" t="s">
        <v>120</v>
      </c>
      <c r="B25" s="20" t="s">
        <v>121</v>
      </c>
      <c r="C25" s="27" t="s">
        <v>122</v>
      </c>
      <c r="D25" s="20" t="s">
        <v>123</v>
      </c>
    </row>
    <row r="26" customFormat="false" ht="37.5" hidden="false" customHeight="true" outlineLevel="0" collapsed="false">
      <c r="A26" s="19" t="s">
        <v>124</v>
      </c>
      <c r="B26" s="20" t="s">
        <v>125</v>
      </c>
      <c r="C26" s="27" t="s">
        <v>126</v>
      </c>
      <c r="D26" s="23" t="s">
        <v>127</v>
      </c>
    </row>
    <row r="27" customFormat="false" ht="15" hidden="false" customHeight="false" outlineLevel="0" collapsed="false">
      <c r="A27" s="36" t="s">
        <v>128</v>
      </c>
      <c r="B27" s="4" t="s">
        <v>129</v>
      </c>
      <c r="C27" s="35" t="s">
        <v>130</v>
      </c>
      <c r="D27" s="4" t="s">
        <v>131</v>
      </c>
    </row>
    <row r="28" customFormat="false" ht="15" hidden="false" customHeight="false" outlineLevel="0" collapsed="false">
      <c r="A28" s="36" t="s">
        <v>132</v>
      </c>
      <c r="B28" s="4" t="s">
        <v>133</v>
      </c>
      <c r="C28" s="35" t="s">
        <v>134</v>
      </c>
      <c r="D28" s="4" t="s">
        <v>135</v>
      </c>
    </row>
    <row r="29" customFormat="false" ht="15" hidden="false" customHeight="false" outlineLevel="0" collapsed="false">
      <c r="A29" s="36" t="s">
        <v>136</v>
      </c>
      <c r="B29" s="4" t="s">
        <v>137</v>
      </c>
      <c r="C29" s="35" t="s">
        <v>138</v>
      </c>
      <c r="D29" s="4" t="s">
        <v>139</v>
      </c>
    </row>
    <row r="30" customFormat="false" ht="16.5" hidden="false" customHeight="true" outlineLevel="0" collapsed="false">
      <c r="A30" s="37" t="s">
        <v>140</v>
      </c>
      <c r="B30" s="4" t="s">
        <v>141</v>
      </c>
      <c r="C30" s="35" t="s">
        <v>142</v>
      </c>
      <c r="D30" s="4" t="s">
        <v>143</v>
      </c>
    </row>
    <row r="31" customFormat="false" ht="22.5" hidden="false" customHeight="true" outlineLevel="0" collapsed="false">
      <c r="A31" s="8" t="s">
        <v>144</v>
      </c>
      <c r="B31" s="8"/>
      <c r="C31" s="8"/>
      <c r="D31" s="8"/>
    </row>
    <row r="32" customFormat="false" ht="15" hidden="false" customHeight="false" outlineLevel="0" collapsed="false">
      <c r="A32" s="26" t="s">
        <v>145</v>
      </c>
      <c r="B32" s="26" t="s">
        <v>146</v>
      </c>
      <c r="C32" s="26" t="s">
        <v>147</v>
      </c>
      <c r="D32" s="26" t="s">
        <v>148</v>
      </c>
    </row>
    <row r="33" customFormat="false" ht="15" hidden="false" customHeight="false" outlineLevel="0" collapsed="false">
      <c r="A33" s="19" t="s">
        <v>149</v>
      </c>
      <c r="B33" s="38" t="n">
        <f aca="false">SUM(B11:D11)</f>
        <v>9.5</v>
      </c>
      <c r="C33" s="20" t="s">
        <v>150</v>
      </c>
      <c r="D33" s="20" t="s">
        <v>151</v>
      </c>
    </row>
    <row r="34" customFormat="false" ht="15" hidden="false" customHeight="false" outlineLevel="0" collapsed="false">
      <c r="A34" s="19" t="s">
        <v>152</v>
      </c>
      <c r="B34" s="39" t="n">
        <v>6</v>
      </c>
      <c r="C34" s="20" t="s">
        <v>150</v>
      </c>
      <c r="D34" s="20" t="s">
        <v>153</v>
      </c>
    </row>
    <row r="35" customFormat="false" ht="15" hidden="false" customHeight="false" outlineLevel="0" collapsed="false">
      <c r="A35" s="19" t="s">
        <v>6</v>
      </c>
      <c r="B35" s="40" t="n">
        <f aca="false">B33-B34</f>
        <v>3.5</v>
      </c>
      <c r="C35" s="20" t="s">
        <v>150</v>
      </c>
      <c r="D35" s="20" t="s">
        <v>154</v>
      </c>
    </row>
    <row r="37" customFormat="false" ht="33.75" hidden="false" customHeight="true" outlineLevel="0" collapsed="false">
      <c r="A37" s="25" t="s">
        <v>155</v>
      </c>
      <c r="B37" s="25"/>
      <c r="C37" s="25"/>
      <c r="D37" s="25"/>
    </row>
  </sheetData>
  <autoFilter ref="A5:D26"/>
  <mergeCells count="5">
    <mergeCell ref="A1:D1"/>
    <mergeCell ref="A2:D2"/>
    <mergeCell ref="A4:D4"/>
    <mergeCell ref="A31:D31"/>
    <mergeCell ref="A37:D37"/>
  </mergeCells>
  <conditionalFormatting sqref="B22:D22">
    <cfRule type="expression" priority="2" aboveAverage="0" equalAverage="0" bottom="0" percent="0" rank="0" text="" dxfId="6">
      <formula>B22="teilweise belastbar"</formula>
    </cfRule>
  </conditionalFormatting>
  <printOptions headings="false" gridLines="false" gridLinesSet="true" horizontalCentered="false" verticalCentered="false"/>
  <pageMargins left="0.25" right="0.25" top="0.75" bottom="0.7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.57"/>
    <col collapsed="false" customWidth="true" hidden="false" outlineLevel="0" max="2" min="2" style="0" width="62.42"/>
    <col collapsed="false" customWidth="true" hidden="false" outlineLevel="0" max="3" min="3" style="0" width="96.71"/>
    <col collapsed="false" customWidth="true" hidden="false" outlineLevel="0" max="4" min="4" style="0" width="87.57"/>
    <col collapsed="false" customWidth="true" hidden="false" outlineLevel="0" max="5" min="5" style="0" width="85.15"/>
    <col collapsed="false" customWidth="true" hidden="false" outlineLevel="0" max="6" min="6" style="0" width="34"/>
    <col collapsed="false" customWidth="true" hidden="false" outlineLevel="0" max="7" min="7" style="0" width="24"/>
    <col collapsed="false" customWidth="true" hidden="false" outlineLevel="0" max="8" min="8" style="0" width="38"/>
    <col collapsed="false" customWidth="true" hidden="false" outlineLevel="0" max="9" min="9" style="0" width="40"/>
  </cols>
  <sheetData>
    <row r="1" customFormat="false" ht="24" hidden="false" customHeight="true" outlineLevel="0" collapsed="false">
      <c r="A1" s="36" t="s">
        <v>156</v>
      </c>
      <c r="B1" s="36" t="s">
        <v>157</v>
      </c>
      <c r="C1" s="36" t="s">
        <v>158</v>
      </c>
      <c r="D1" s="36" t="s">
        <v>58</v>
      </c>
      <c r="E1" s="36"/>
      <c r="F1" s="41" t="s">
        <v>159</v>
      </c>
      <c r="G1" s="41"/>
      <c r="H1" s="41"/>
      <c r="I1" s="41"/>
    </row>
    <row r="2" customFormat="false" ht="36" hidden="false" customHeight="true" outlineLevel="0" collapsed="false">
      <c r="A2" s="0" t="s">
        <v>95</v>
      </c>
      <c r="B2" s="42" t="n">
        <v>0.25</v>
      </c>
      <c r="C2" s="4" t="s">
        <v>160</v>
      </c>
      <c r="D2" s="4" t="s">
        <v>161</v>
      </c>
      <c r="F2" s="43" t="s">
        <v>162</v>
      </c>
      <c r="G2" s="43"/>
      <c r="H2" s="43"/>
      <c r="I2" s="43"/>
    </row>
    <row r="3" customFormat="false" ht="33.75" hidden="false" customHeight="true" outlineLevel="0" collapsed="false">
      <c r="A3" s="0" t="s">
        <v>163</v>
      </c>
      <c r="B3" s="42" t="n">
        <v>0.2</v>
      </c>
      <c r="C3" s="4" t="s">
        <v>164</v>
      </c>
      <c r="D3" s="4" t="s">
        <v>165</v>
      </c>
      <c r="E3" s="44"/>
      <c r="F3" s="45" t="s">
        <v>166</v>
      </c>
      <c r="G3" s="45" t="s">
        <v>167</v>
      </c>
      <c r="H3" s="45" t="s">
        <v>168</v>
      </c>
      <c r="I3" s="45" t="s">
        <v>169</v>
      </c>
    </row>
    <row r="4" customFormat="false" ht="57.75" hidden="false" customHeight="true" outlineLevel="0" collapsed="false">
      <c r="A4" s="0" t="s">
        <v>170</v>
      </c>
      <c r="B4" s="42" t="n">
        <v>0.15</v>
      </c>
      <c r="C4" s="4" t="s">
        <v>171</v>
      </c>
      <c r="D4" s="4" t="s">
        <v>172</v>
      </c>
      <c r="F4" s="46" t="s">
        <v>173</v>
      </c>
      <c r="G4" s="47" t="s">
        <v>174</v>
      </c>
      <c r="H4" s="46" t="s">
        <v>175</v>
      </c>
      <c r="I4" s="46" t="s">
        <v>176</v>
      </c>
    </row>
    <row r="5" customFormat="false" ht="57.75" hidden="false" customHeight="true" outlineLevel="0" collapsed="false">
      <c r="A5" s="0" t="s">
        <v>177</v>
      </c>
      <c r="B5" s="42" t="n">
        <v>0.15</v>
      </c>
      <c r="C5" s="44" t="s">
        <v>178</v>
      </c>
      <c r="D5" s="44" t="s">
        <v>179</v>
      </c>
      <c r="F5" s="46" t="s">
        <v>180</v>
      </c>
      <c r="G5" s="48" t="s">
        <v>181</v>
      </c>
      <c r="H5" s="46" t="s">
        <v>182</v>
      </c>
      <c r="I5" s="46" t="s">
        <v>183</v>
      </c>
    </row>
    <row r="6" customFormat="false" ht="57.75" hidden="false" customHeight="true" outlineLevel="0" collapsed="false">
      <c r="A6" s="44" t="s">
        <v>184</v>
      </c>
      <c r="B6" s="42" t="n">
        <v>0.15</v>
      </c>
      <c r="C6" s="44" t="s">
        <v>185</v>
      </c>
      <c r="D6" s="44" t="s">
        <v>186</v>
      </c>
      <c r="F6" s="46" t="s">
        <v>187</v>
      </c>
      <c r="G6" s="47" t="s">
        <v>188</v>
      </c>
      <c r="H6" s="46" t="s">
        <v>189</v>
      </c>
      <c r="I6" s="46" t="s">
        <v>190</v>
      </c>
    </row>
    <row r="7" customFormat="false" ht="57.75" hidden="false" customHeight="true" outlineLevel="0" collapsed="false">
      <c r="A7" s="0" t="s">
        <v>99</v>
      </c>
      <c r="B7" s="42" t="n">
        <v>0.05</v>
      </c>
      <c r="C7" s="44" t="s">
        <v>191</v>
      </c>
      <c r="D7" s="44" t="s">
        <v>192</v>
      </c>
      <c r="F7" s="46" t="s">
        <v>193</v>
      </c>
      <c r="G7" s="47" t="s">
        <v>194</v>
      </c>
      <c r="H7" s="46" t="s">
        <v>195</v>
      </c>
      <c r="I7" s="46" t="s">
        <v>196</v>
      </c>
    </row>
    <row r="8" customFormat="false" ht="16.5" hidden="false" customHeight="true" outlineLevel="0" collapsed="false">
      <c r="A8" s="0" t="s">
        <v>197</v>
      </c>
      <c r="B8" s="42" t="n">
        <v>0.05</v>
      </c>
      <c r="C8" s="44" t="s">
        <v>198</v>
      </c>
      <c r="D8" s="44" t="s">
        <v>199</v>
      </c>
    </row>
    <row r="9" customFormat="false" ht="39.75" hidden="false" customHeight="true" outlineLevel="0" collapsed="false">
      <c r="F9" s="49" t="s">
        <v>200</v>
      </c>
      <c r="G9" s="50" t="s">
        <v>201</v>
      </c>
      <c r="H9" s="51" t="s">
        <v>202</v>
      </c>
      <c r="I9" s="51"/>
    </row>
    <row r="10" customFormat="false" ht="15" hidden="false" customHeight="false" outlineLevel="0" collapsed="false">
      <c r="A10" s="52" t="s">
        <v>203</v>
      </c>
      <c r="B10" s="42" t="n">
        <f aca="false">SUM(B2:B8)</f>
        <v>1</v>
      </c>
    </row>
    <row r="12" customFormat="false" ht="33" hidden="false" customHeight="true" outlineLevel="0" collapsed="false">
      <c r="A12" s="53" t="s">
        <v>204</v>
      </c>
      <c r="B12" s="53"/>
      <c r="C12" s="53"/>
      <c r="D12" s="53"/>
    </row>
    <row r="15" customFormat="false" ht="16.5" hidden="false" customHeight="true" outlineLevel="0" collapsed="false"/>
    <row r="16" customFormat="false" ht="16.5" hidden="false" customHeight="true" outlineLevel="0" collapsed="false"/>
    <row r="26" customFormat="false" ht="16.5" hidden="false" customHeight="true" outlineLevel="0" collapsed="false"/>
    <row r="27" customFormat="false" ht="16.5" hidden="false" customHeight="true" outlineLevel="0" collapsed="false"/>
    <row r="28" customFormat="false" ht="16.5" hidden="false" customHeight="true" outlineLevel="0" collapsed="false"/>
    <row r="33" customFormat="false" ht="16.5" hidden="false" customHeight="true" outlineLevel="0" collapsed="false"/>
  </sheetData>
  <mergeCells count="4">
    <mergeCell ref="F1:I1"/>
    <mergeCell ref="F2:I2"/>
    <mergeCell ref="H9:I9"/>
    <mergeCell ref="A12:D12"/>
  </mergeCells>
  <dataValidations count="1">
    <dataValidation allowBlank="false" errorStyle="stop" operator="between" showDropDown="false" showErrorMessage="false" showInputMessage="false" sqref="G4 G6:G7" type="list">
      <formula1>"Offen,Ja,Nein,Noch nicht,Nein - falls Pflicht bestätigt"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1"/>
    <col collapsed="false" customWidth="true" hidden="false" outlineLevel="0" max="6" min="3" style="0" width="10"/>
    <col collapsed="false" customWidth="true" hidden="false" outlineLevel="0" max="10" min="7" style="0" width="13"/>
    <col collapsed="false" customWidth="true" hidden="false" outlineLevel="0" max="11" min="11" style="0" width="47"/>
  </cols>
  <sheetData>
    <row r="1" customFormat="false" ht="31.5" hidden="false" customHeight="true" outlineLevel="0" collapsed="false">
      <c r="A1" s="1" t="s">
        <v>205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76.5" hidden="false" customHeight="true" outlineLevel="0" collapsed="false">
      <c r="A2" s="54" t="s">
        <v>206</v>
      </c>
      <c r="B2" s="54"/>
      <c r="C2" s="54"/>
      <c r="D2" s="54"/>
      <c r="E2" s="54"/>
      <c r="F2" s="54"/>
      <c r="G2" s="54"/>
      <c r="H2" s="54"/>
      <c r="I2" s="54"/>
      <c r="J2" s="54"/>
      <c r="K2" s="54"/>
    </row>
    <row r="3" customFormat="false" ht="16.5" hidden="false" customHeight="true" outlineLevel="0" collapsed="false"/>
    <row r="4" customFormat="false" ht="16.5" hidden="false" customHeight="true" outlineLevel="0" collapsed="false">
      <c r="A4" s="12" t="s">
        <v>156</v>
      </c>
      <c r="B4" s="12" t="s">
        <v>207</v>
      </c>
      <c r="C4" s="12" t="s">
        <v>208</v>
      </c>
      <c r="D4" s="12" t="s">
        <v>209</v>
      </c>
      <c r="E4" s="12" t="s">
        <v>210</v>
      </c>
      <c r="F4" s="12" t="s">
        <v>211</v>
      </c>
      <c r="G4" s="12" t="s">
        <v>212</v>
      </c>
      <c r="H4" s="12" t="s">
        <v>213</v>
      </c>
      <c r="I4" s="12" t="s">
        <v>214</v>
      </c>
      <c r="J4" s="12" t="s">
        <v>215</v>
      </c>
      <c r="K4" s="12" t="s">
        <v>216</v>
      </c>
    </row>
    <row r="5" customFormat="false" ht="16.5" hidden="false" customHeight="true" outlineLevel="0" collapsed="false">
      <c r="A5" s="13" t="s">
        <v>95</v>
      </c>
      <c r="B5" s="55" t="n">
        <v>0.25</v>
      </c>
      <c r="C5" s="13" t="n">
        <v>5</v>
      </c>
      <c r="D5" s="13" t="n">
        <v>3</v>
      </c>
      <c r="E5" s="13" t="n">
        <v>4</v>
      </c>
      <c r="F5" s="13" t="n">
        <v>5</v>
      </c>
      <c r="G5" s="56" t="n">
        <f aca="false">$B5*C5</f>
        <v>1.25</v>
      </c>
      <c r="H5" s="56" t="n">
        <f aca="false">$B5*D5</f>
        <v>0.75</v>
      </c>
      <c r="I5" s="56" t="n">
        <f aca="false">$B5*E5</f>
        <v>1</v>
      </c>
      <c r="J5" s="56" t="n">
        <f aca="false">$B5*F5</f>
        <v>1.25</v>
      </c>
      <c r="K5" s="13" t="s">
        <v>217</v>
      </c>
    </row>
    <row r="6" customFormat="false" ht="15" hidden="false" customHeight="false" outlineLevel="0" collapsed="false">
      <c r="A6" s="15" t="s">
        <v>163</v>
      </c>
      <c r="B6" s="57" t="n">
        <v>0.2</v>
      </c>
      <c r="C6" s="15" t="n">
        <v>5</v>
      </c>
      <c r="D6" s="15" t="n">
        <v>3</v>
      </c>
      <c r="E6" s="15" t="n">
        <v>4</v>
      </c>
      <c r="F6" s="15" t="n">
        <v>4</v>
      </c>
      <c r="G6" s="58" t="n">
        <f aca="false">$B6*C6</f>
        <v>1</v>
      </c>
      <c r="H6" s="58" t="n">
        <f aca="false">$B6*D6</f>
        <v>0.6</v>
      </c>
      <c r="I6" s="58" t="n">
        <f aca="false">$B6*E6</f>
        <v>0.8</v>
      </c>
      <c r="J6" s="58" t="n">
        <f aca="false">$B6*F6</f>
        <v>0.8</v>
      </c>
      <c r="K6" s="15" t="s">
        <v>218</v>
      </c>
    </row>
    <row r="7" customFormat="false" ht="30.75" hidden="false" customHeight="true" outlineLevel="0" collapsed="false">
      <c r="A7" s="13" t="s">
        <v>170</v>
      </c>
      <c r="B7" s="55" t="n">
        <v>0.15</v>
      </c>
      <c r="C7" s="13" t="n">
        <v>2</v>
      </c>
      <c r="D7" s="13" t="n">
        <v>5</v>
      </c>
      <c r="E7" s="13" t="n">
        <v>3</v>
      </c>
      <c r="F7" s="13" t="n">
        <v>5</v>
      </c>
      <c r="G7" s="56" t="n">
        <f aca="false">$B7*C7</f>
        <v>0.3</v>
      </c>
      <c r="H7" s="56" t="n">
        <f aca="false">$B7*D7</f>
        <v>0.75</v>
      </c>
      <c r="I7" s="56" t="n">
        <f aca="false">$B7*E7</f>
        <v>0.45</v>
      </c>
      <c r="J7" s="56" t="n">
        <f aca="false">$B7*F7</f>
        <v>0.75</v>
      </c>
      <c r="K7" s="13" t="s">
        <v>219</v>
      </c>
    </row>
    <row r="8" customFormat="false" ht="15" hidden="false" customHeight="false" outlineLevel="0" collapsed="false">
      <c r="A8" s="15" t="s">
        <v>177</v>
      </c>
      <c r="B8" s="57" t="n">
        <v>0.15</v>
      </c>
      <c r="C8" s="15" t="n">
        <v>3</v>
      </c>
      <c r="D8" s="15" t="n">
        <v>4</v>
      </c>
      <c r="E8" s="15" t="n">
        <v>2</v>
      </c>
      <c r="F8" s="15" t="n">
        <v>4</v>
      </c>
      <c r="G8" s="58" t="n">
        <f aca="false">$B8*C8</f>
        <v>0.45</v>
      </c>
      <c r="H8" s="58" t="n">
        <f aca="false">$B8*D8</f>
        <v>0.6</v>
      </c>
      <c r="I8" s="58" t="n">
        <f aca="false">$B8*E8</f>
        <v>0.3</v>
      </c>
      <c r="J8" s="58" t="n">
        <f aca="false">$B8*F8</f>
        <v>0.6</v>
      </c>
      <c r="K8" s="15" t="s">
        <v>220</v>
      </c>
    </row>
    <row r="9" customFormat="false" ht="15" hidden="false" customHeight="false" outlineLevel="0" collapsed="false">
      <c r="A9" s="13" t="s">
        <v>184</v>
      </c>
      <c r="B9" s="55" t="n">
        <v>0.15</v>
      </c>
      <c r="C9" s="13" t="n">
        <v>2</v>
      </c>
      <c r="D9" s="13" t="n">
        <v>4</v>
      </c>
      <c r="E9" s="13" t="n">
        <v>2</v>
      </c>
      <c r="F9" s="13" t="n">
        <v>4</v>
      </c>
      <c r="G9" s="56" t="n">
        <f aca="false">$B9*C9</f>
        <v>0.3</v>
      </c>
      <c r="H9" s="56" t="n">
        <f aca="false">$B9*D9</f>
        <v>0.6</v>
      </c>
      <c r="I9" s="56" t="n">
        <f aca="false">$B9*E9</f>
        <v>0.3</v>
      </c>
      <c r="J9" s="56" t="n">
        <f aca="false">$B9*F9</f>
        <v>0.6</v>
      </c>
      <c r="K9" s="13" t="s">
        <v>221</v>
      </c>
    </row>
    <row r="10" customFormat="false" ht="33.75" hidden="false" customHeight="true" outlineLevel="0" collapsed="false">
      <c r="A10" s="15" t="s">
        <v>99</v>
      </c>
      <c r="B10" s="57" t="n">
        <v>0.05</v>
      </c>
      <c r="C10" s="15" t="n">
        <v>1</v>
      </c>
      <c r="D10" s="15" t="n">
        <v>5</v>
      </c>
      <c r="E10" s="15" t="n">
        <v>2</v>
      </c>
      <c r="F10" s="15" t="n">
        <v>5</v>
      </c>
      <c r="G10" s="58" t="n">
        <f aca="false">$B10*C10</f>
        <v>0.05</v>
      </c>
      <c r="H10" s="58" t="n">
        <f aca="false">$B10*D10</f>
        <v>0.25</v>
      </c>
      <c r="I10" s="58" t="n">
        <f aca="false">$B10*E10</f>
        <v>0.1</v>
      </c>
      <c r="J10" s="58" t="n">
        <f aca="false">$B10*F10</f>
        <v>0.25</v>
      </c>
      <c r="K10" s="15" t="s">
        <v>222</v>
      </c>
    </row>
    <row r="11" customFormat="false" ht="15" hidden="false" customHeight="false" outlineLevel="0" collapsed="false">
      <c r="A11" s="13" t="s">
        <v>197</v>
      </c>
      <c r="B11" s="55" t="n">
        <v>0.05</v>
      </c>
      <c r="C11" s="13" t="n">
        <v>3</v>
      </c>
      <c r="D11" s="13" t="n">
        <v>3</v>
      </c>
      <c r="E11" s="13" t="n">
        <v>2</v>
      </c>
      <c r="F11" s="13" t="n">
        <v>4</v>
      </c>
      <c r="G11" s="56" t="n">
        <f aca="false">$B11*C11</f>
        <v>0.15</v>
      </c>
      <c r="H11" s="56" t="n">
        <f aca="false">$B11*D11</f>
        <v>0.15</v>
      </c>
      <c r="I11" s="56" t="n">
        <f aca="false">$B11*E11</f>
        <v>0.1</v>
      </c>
      <c r="J11" s="56" t="n">
        <f aca="false">$B11*F11</f>
        <v>0.2</v>
      </c>
      <c r="K11" s="13" t="s">
        <v>223</v>
      </c>
    </row>
    <row r="12" customFormat="false" ht="15" hidden="false" customHeight="false" outlineLevel="0" collapsed="false">
      <c r="A12" s="59" t="s">
        <v>224</v>
      </c>
      <c r="G12" s="60" t="n">
        <f aca="false">SUM(G5:G11)</f>
        <v>3.5</v>
      </c>
      <c r="H12" s="60" t="n">
        <f aca="false">SUM(H5:H11)</f>
        <v>3.7</v>
      </c>
      <c r="I12" s="60" t="n">
        <f aca="false">SUM(I5:I11)</f>
        <v>3.05</v>
      </c>
      <c r="J12" s="60" t="n">
        <f aca="false">SUM(J5:J11)</f>
        <v>4.45</v>
      </c>
    </row>
    <row r="14" customFormat="false" ht="22.5" hidden="false" customHeight="true" outlineLevel="0" collapsed="false">
      <c r="A14" s="8" t="s">
        <v>225</v>
      </c>
      <c r="B14" s="8"/>
      <c r="C14" s="8"/>
      <c r="D14" s="8"/>
      <c r="E14" s="8"/>
      <c r="F14" s="8"/>
      <c r="G14" s="8"/>
      <c r="H14" s="8"/>
      <c r="I14" s="8"/>
      <c r="J14" s="8"/>
      <c r="K14" s="8"/>
    </row>
    <row r="15" customFormat="false" ht="26.85" hidden="false" customHeight="false" outlineLevel="0" collapsed="false">
      <c r="A15" s="12" t="s">
        <v>2</v>
      </c>
      <c r="B15" s="12" t="s">
        <v>226</v>
      </c>
      <c r="C15" s="12" t="s">
        <v>227</v>
      </c>
      <c r="D15" s="12" t="s">
        <v>228</v>
      </c>
    </row>
    <row r="16" customFormat="false" ht="77.6" hidden="false" customHeight="false" outlineLevel="0" collapsed="false">
      <c r="A16" s="61" t="s">
        <v>229</v>
      </c>
      <c r="B16" s="61" t="s">
        <v>230</v>
      </c>
      <c r="C16" s="61" t="s">
        <v>231</v>
      </c>
      <c r="D16" s="61" t="s">
        <v>232</v>
      </c>
    </row>
    <row r="17" customFormat="false" ht="90.25" hidden="false" customHeight="false" outlineLevel="0" collapsed="false">
      <c r="A17" s="15" t="s">
        <v>7</v>
      </c>
      <c r="B17" s="15" t="s">
        <v>233</v>
      </c>
      <c r="C17" s="15" t="s">
        <v>234</v>
      </c>
      <c r="D17" s="15" t="s">
        <v>235</v>
      </c>
    </row>
    <row r="18" customFormat="false" ht="90.25" hidden="false" customHeight="false" outlineLevel="0" collapsed="false">
      <c r="A18" s="61" t="s">
        <v>236</v>
      </c>
      <c r="B18" s="61" t="s">
        <v>237</v>
      </c>
      <c r="C18" s="61" t="s">
        <v>231</v>
      </c>
      <c r="D18" s="61" t="s">
        <v>238</v>
      </c>
    </row>
    <row r="19" customFormat="false" ht="64.9" hidden="false" customHeight="false" outlineLevel="0" collapsed="false">
      <c r="A19" s="62" t="s">
        <v>11</v>
      </c>
      <c r="B19" s="62" t="s">
        <v>239</v>
      </c>
      <c r="C19" s="62" t="s">
        <v>240</v>
      </c>
      <c r="D19" s="62" t="s">
        <v>241</v>
      </c>
    </row>
  </sheetData>
  <mergeCells count="3">
    <mergeCell ref="A1:K1"/>
    <mergeCell ref="A2:K2"/>
    <mergeCell ref="A14:K1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9" activeCellId="0" sqref="B19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7"/>
    <col collapsed="false" customWidth="true" hidden="false" outlineLevel="0" max="4" min="2" style="0" width="34"/>
    <col collapsed="false" customWidth="true" hidden="false" outlineLevel="0" max="5" min="5" style="0" width="60.15"/>
    <col collapsed="false" customWidth="true" hidden="false" outlineLevel="0" max="6" min="6" style="0" width="50.86"/>
  </cols>
  <sheetData>
    <row r="1" customFormat="false" ht="31.5" hidden="false" customHeight="true" outlineLevel="0" collapsed="false">
      <c r="A1" s="1" t="s">
        <v>242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12" t="s">
        <v>156</v>
      </c>
      <c r="B3" s="12" t="s">
        <v>229</v>
      </c>
      <c r="C3" s="12" t="s">
        <v>7</v>
      </c>
      <c r="D3" s="12" t="s">
        <v>236</v>
      </c>
      <c r="E3" s="12" t="s">
        <v>11</v>
      </c>
      <c r="F3" s="12" t="s">
        <v>148</v>
      </c>
    </row>
    <row r="4" customFormat="false" ht="26.85" hidden="false" customHeight="false" outlineLevel="0" collapsed="false">
      <c r="A4" s="13" t="s">
        <v>95</v>
      </c>
      <c r="B4" s="13" t="s">
        <v>243</v>
      </c>
      <c r="C4" s="13" t="s">
        <v>244</v>
      </c>
      <c r="D4" s="13" t="s">
        <v>245</v>
      </c>
      <c r="E4" s="13" t="s">
        <v>246</v>
      </c>
      <c r="F4" s="13" t="s">
        <v>247</v>
      </c>
    </row>
    <row r="5" customFormat="false" ht="26.85" hidden="false" customHeight="false" outlineLevel="0" collapsed="false">
      <c r="A5" s="15" t="s">
        <v>163</v>
      </c>
      <c r="B5" s="15" t="s">
        <v>248</v>
      </c>
      <c r="C5" s="15" t="s">
        <v>249</v>
      </c>
      <c r="D5" s="15" t="s">
        <v>250</v>
      </c>
      <c r="E5" s="15" t="s">
        <v>251</v>
      </c>
      <c r="F5" s="15" t="s">
        <v>247</v>
      </c>
    </row>
    <row r="6" customFormat="false" ht="15" hidden="false" customHeight="false" outlineLevel="0" collapsed="false">
      <c r="A6" s="13" t="s">
        <v>170</v>
      </c>
      <c r="B6" s="13" t="s">
        <v>252</v>
      </c>
      <c r="C6" s="13" t="s">
        <v>253</v>
      </c>
      <c r="D6" s="13" t="s">
        <v>254</v>
      </c>
      <c r="E6" s="13" t="s">
        <v>255</v>
      </c>
      <c r="F6" s="13" t="s">
        <v>247</v>
      </c>
    </row>
    <row r="7" customFormat="false" ht="26.85" hidden="false" customHeight="false" outlineLevel="0" collapsed="false">
      <c r="A7" s="15" t="s">
        <v>177</v>
      </c>
      <c r="B7" s="15" t="s">
        <v>256</v>
      </c>
      <c r="C7" s="15" t="s">
        <v>257</v>
      </c>
      <c r="D7" s="15" t="s">
        <v>258</v>
      </c>
      <c r="E7" s="15" t="s">
        <v>259</v>
      </c>
      <c r="F7" s="15" t="s">
        <v>247</v>
      </c>
    </row>
    <row r="8" customFormat="false" ht="26.85" hidden="false" customHeight="false" outlineLevel="0" collapsed="false">
      <c r="A8" s="13" t="s">
        <v>184</v>
      </c>
      <c r="B8" s="13" t="s">
        <v>260</v>
      </c>
      <c r="C8" s="13" t="s">
        <v>261</v>
      </c>
      <c r="D8" s="13" t="s">
        <v>262</v>
      </c>
      <c r="E8" s="13" t="s">
        <v>221</v>
      </c>
      <c r="F8" s="13" t="s">
        <v>247</v>
      </c>
    </row>
    <row r="9" customFormat="false" ht="15" hidden="false" customHeight="false" outlineLevel="0" collapsed="false">
      <c r="A9" s="15" t="s">
        <v>99</v>
      </c>
      <c r="B9" s="15" t="s">
        <v>263</v>
      </c>
      <c r="C9" s="15" t="s">
        <v>264</v>
      </c>
      <c r="D9" s="15" t="s">
        <v>265</v>
      </c>
      <c r="E9" s="15" t="s">
        <v>264</v>
      </c>
      <c r="F9" s="15" t="s">
        <v>247</v>
      </c>
    </row>
    <row r="10" customFormat="false" ht="26.85" hidden="false" customHeight="false" outlineLevel="0" collapsed="false">
      <c r="A10" s="13" t="s">
        <v>197</v>
      </c>
      <c r="B10" s="13" t="s">
        <v>266</v>
      </c>
      <c r="C10" s="13" t="s">
        <v>267</v>
      </c>
      <c r="D10" s="13" t="s">
        <v>268</v>
      </c>
      <c r="E10" s="13" t="s">
        <v>269</v>
      </c>
      <c r="F10" s="13" t="s">
        <v>247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6"/>
    <col collapsed="false" customWidth="true" hidden="false" outlineLevel="0" max="3" min="3" style="0" width="30"/>
    <col collapsed="false" customWidth="true" hidden="false" outlineLevel="0" max="4" min="4" style="0" width="22"/>
    <col collapsed="false" customWidth="true" hidden="false" outlineLevel="0" max="5" min="5" style="0" width="20.14"/>
    <col collapsed="false" customWidth="true" hidden="false" outlineLevel="0" max="6" min="6" style="0" width="14"/>
    <col collapsed="false" customWidth="true" hidden="false" outlineLevel="0" max="7" min="7" style="0" width="35.71"/>
    <col collapsed="false" customWidth="true" hidden="false" outlineLevel="0" max="8" min="8" style="0" width="52"/>
    <col collapsed="false" customWidth="true" hidden="false" outlineLevel="0" max="9" min="9" style="0" width="58.29"/>
    <col collapsed="false" customWidth="true" hidden="false" outlineLevel="0" max="10" min="10" style="0" width="16"/>
  </cols>
  <sheetData>
    <row r="1" customFormat="false" ht="28.35" hidden="false" customHeight="false" outlineLevel="0" collapsed="false">
      <c r="A1" s="63" t="s">
        <v>270</v>
      </c>
      <c r="B1" s="63" t="s">
        <v>271</v>
      </c>
      <c r="C1" s="63" t="s">
        <v>272</v>
      </c>
      <c r="D1" s="63" t="s">
        <v>273</v>
      </c>
      <c r="E1" s="63" t="s">
        <v>274</v>
      </c>
      <c r="F1" s="63" t="s">
        <v>275</v>
      </c>
      <c r="G1" s="63" t="s">
        <v>276</v>
      </c>
      <c r="H1" s="63" t="s">
        <v>277</v>
      </c>
      <c r="I1" s="63" t="s">
        <v>278</v>
      </c>
      <c r="J1" s="63" t="s">
        <v>279</v>
      </c>
    </row>
    <row r="2" customFormat="false" ht="82.05" hidden="false" customHeight="false" outlineLevel="0" collapsed="false">
      <c r="A2" s="64" t="s">
        <v>280</v>
      </c>
      <c r="B2" s="64" t="s">
        <v>281</v>
      </c>
      <c r="C2" s="64" t="s">
        <v>282</v>
      </c>
      <c r="D2" s="64" t="s">
        <v>283</v>
      </c>
      <c r="E2" s="65" t="n">
        <v>46317</v>
      </c>
      <c r="F2" s="64" t="s">
        <v>284</v>
      </c>
      <c r="G2" s="64" t="s">
        <v>96</v>
      </c>
      <c r="H2" s="64" t="s">
        <v>285</v>
      </c>
      <c r="I2" s="64" t="s">
        <v>286</v>
      </c>
      <c r="J2" s="64" t="s">
        <v>287</v>
      </c>
    </row>
    <row r="3" customFormat="false" ht="16.5" hidden="false" customHeight="true" outlineLevel="0" collapsed="false">
      <c r="A3" s="64" t="s">
        <v>288</v>
      </c>
      <c r="B3" s="64" t="s">
        <v>289</v>
      </c>
      <c r="C3" s="64" t="s">
        <v>290</v>
      </c>
      <c r="D3" s="64" t="s">
        <v>291</v>
      </c>
      <c r="E3" s="65" t="n">
        <v>46315</v>
      </c>
      <c r="F3" s="64" t="s">
        <v>284</v>
      </c>
      <c r="G3" s="64" t="s">
        <v>96</v>
      </c>
      <c r="H3" s="66" t="s">
        <v>292</v>
      </c>
      <c r="I3" s="64" t="s">
        <v>293</v>
      </c>
      <c r="J3" s="64" t="s">
        <v>294</v>
      </c>
    </row>
    <row r="4" customFormat="false" ht="16.5" hidden="false" customHeight="true" outlineLevel="0" collapsed="false">
      <c r="A4" s="64" t="s">
        <v>295</v>
      </c>
      <c r="B4" s="64" t="s">
        <v>296</v>
      </c>
      <c r="C4" s="64" t="s">
        <v>297</v>
      </c>
      <c r="D4" s="64" t="s">
        <v>75</v>
      </c>
      <c r="E4" s="65" t="n">
        <v>46316</v>
      </c>
      <c r="F4" s="64" t="s">
        <v>284</v>
      </c>
      <c r="G4" s="64" t="s">
        <v>97</v>
      </c>
      <c r="H4" s="66" t="s">
        <v>298</v>
      </c>
      <c r="I4" s="64" t="s">
        <v>299</v>
      </c>
      <c r="J4" s="64" t="s">
        <v>300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1"/>
    <col collapsed="false" customWidth="true" hidden="false" outlineLevel="0" max="3" min="3" style="0" width="60"/>
    <col collapsed="false" customWidth="true" hidden="false" outlineLevel="0" max="4" min="4" style="0" width="31"/>
    <col collapsed="false" customWidth="true" hidden="false" outlineLevel="0" max="5" min="5" style="0" width="46"/>
    <col collapsed="false" customWidth="true" hidden="false" outlineLevel="0" max="6" min="6" style="0" width="36.57"/>
  </cols>
  <sheetData>
    <row r="1" customFormat="false" ht="31.5" hidden="false" customHeight="true" outlineLevel="0" collapsed="false">
      <c r="A1" s="1" t="s">
        <v>301</v>
      </c>
      <c r="B1" s="1"/>
      <c r="C1" s="1"/>
      <c r="D1" s="1"/>
    </row>
    <row r="2" customFormat="false" ht="30.75" hidden="false" customHeight="true" outlineLevel="0" collapsed="false"/>
    <row r="3" customFormat="false" ht="30.75" hidden="false" customHeight="true" outlineLevel="0" collapsed="false">
      <c r="A3" s="12" t="s">
        <v>302</v>
      </c>
      <c r="B3" s="12" t="s">
        <v>167</v>
      </c>
      <c r="C3" s="12" t="s">
        <v>58</v>
      </c>
      <c r="D3" s="12" t="s">
        <v>303</v>
      </c>
    </row>
    <row r="4" customFormat="false" ht="30.75" hidden="false" customHeight="true" outlineLevel="0" collapsed="false">
      <c r="A4" s="13" t="s">
        <v>304</v>
      </c>
      <c r="B4" s="13" t="s">
        <v>305</v>
      </c>
      <c r="C4" s="13" t="s">
        <v>306</v>
      </c>
      <c r="D4" s="13" t="s">
        <v>307</v>
      </c>
    </row>
    <row r="5" customFormat="false" ht="30.75" hidden="false" customHeight="true" outlineLevel="0" collapsed="false">
      <c r="A5" s="15" t="s">
        <v>308</v>
      </c>
      <c r="B5" s="15" t="s">
        <v>305</v>
      </c>
      <c r="C5" s="15" t="s">
        <v>309</v>
      </c>
      <c r="D5" s="15" t="s">
        <v>307</v>
      </c>
    </row>
    <row r="6" customFormat="false" ht="30.75" hidden="false" customHeight="true" outlineLevel="0" collapsed="false">
      <c r="A6" s="13" t="s">
        <v>310</v>
      </c>
      <c r="B6" s="13" t="s">
        <v>305</v>
      </c>
      <c r="C6" s="13" t="s">
        <v>311</v>
      </c>
      <c r="D6" s="13" t="s">
        <v>312</v>
      </c>
    </row>
    <row r="7" customFormat="false" ht="30.75" hidden="false" customHeight="true" outlineLevel="0" collapsed="false">
      <c r="A7" s="15" t="s">
        <v>313</v>
      </c>
      <c r="B7" s="15" t="s">
        <v>305</v>
      </c>
      <c r="C7" s="15" t="s">
        <v>314</v>
      </c>
      <c r="D7" s="15" t="s">
        <v>315</v>
      </c>
    </row>
    <row r="8" customFormat="false" ht="30.75" hidden="false" customHeight="true" outlineLevel="0" collapsed="false">
      <c r="A8" s="13" t="s">
        <v>316</v>
      </c>
      <c r="B8" s="13" t="s">
        <v>305</v>
      </c>
      <c r="C8" s="13" t="s">
        <v>317</v>
      </c>
      <c r="D8" s="13" t="s">
        <v>318</v>
      </c>
    </row>
    <row r="9" customFormat="false" ht="30.75" hidden="false" customHeight="true" outlineLevel="0" collapsed="false">
      <c r="A9" s="15" t="s">
        <v>319</v>
      </c>
      <c r="B9" s="15" t="s">
        <v>305</v>
      </c>
      <c r="C9" s="15" t="s">
        <v>320</v>
      </c>
      <c r="D9" s="15" t="s">
        <v>321</v>
      </c>
    </row>
    <row r="10" customFormat="false" ht="15" hidden="false" customHeight="false" outlineLevel="0" collapsed="false">
      <c r="A10" s="13" t="s">
        <v>322</v>
      </c>
      <c r="B10" s="13" t="s">
        <v>305</v>
      </c>
      <c r="C10" s="13" t="s">
        <v>323</v>
      </c>
      <c r="D10" s="13" t="s">
        <v>324</v>
      </c>
    </row>
    <row r="11" customFormat="false" ht="30.75" hidden="false" customHeight="true" outlineLevel="0" collapsed="false">
      <c r="A11" s="15" t="s">
        <v>325</v>
      </c>
      <c r="B11" s="15" t="s">
        <v>326</v>
      </c>
      <c r="C11" s="15" t="s">
        <v>327</v>
      </c>
      <c r="D11" s="15" t="s">
        <v>328</v>
      </c>
    </row>
    <row r="12" customFormat="false" ht="26.25" hidden="false" customHeight="true" outlineLevel="0" collapsed="false">
      <c r="A12" s="13" t="s">
        <v>329</v>
      </c>
      <c r="B12" s="13" t="s">
        <v>305</v>
      </c>
      <c r="C12" s="13" t="s">
        <v>330</v>
      </c>
      <c r="D12" s="13" t="s">
        <v>331</v>
      </c>
    </row>
    <row r="13" customFormat="false" ht="45.75" hidden="false" customHeight="true" outlineLevel="0" collapsed="false">
      <c r="A13" s="15" t="s">
        <v>332</v>
      </c>
      <c r="B13" s="15" t="s">
        <v>305</v>
      </c>
      <c r="C13" s="15" t="s">
        <v>333</v>
      </c>
      <c r="D13" s="15" t="s">
        <v>334</v>
      </c>
    </row>
    <row r="15" customFormat="false" ht="22.5" hidden="false" customHeight="true" outlineLevel="0" collapsed="false">
      <c r="A15" s="8" t="s">
        <v>335</v>
      </c>
      <c r="B15" s="8"/>
      <c r="C15" s="8"/>
      <c r="D15" s="8"/>
    </row>
    <row r="16" customFormat="false" ht="37.5" hidden="false" customHeight="true" outlineLevel="0" collapsed="false">
      <c r="A16" s="67" t="s">
        <v>336</v>
      </c>
      <c r="B16" s="67"/>
      <c r="C16" s="67"/>
      <c r="D16" s="67"/>
    </row>
  </sheetData>
  <mergeCells count="3">
    <mergeCell ref="A1:D1"/>
    <mergeCell ref="A15:D15"/>
    <mergeCell ref="A16:D1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2026-10-11T13:23:27Z</dcterms:created>
  <dc:creator>Jovanka Schauder</dc:creator>
  <dc:description/>
  <dc:language>de-DE</dc:language>
  <cp:lastModifiedBy/>
  <dcterms:modified xsi:type="dcterms:W3CDTF">2026-10-12T14:53:49Z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
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xr:revisionPtr revIDLastSave="0" documentId="8_{8FBC2C2A-3FEE-4CCA-9FF3-47064D1220C2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Übersicht" sheetId="1" r:id="rId1"/>
    <sheet name="Tabelle1" sheetId="9" r:id="rId2"/>
    <sheet name="Tabelle2" sheetId="10" r:id="rId3"/>
    <sheet name="Entscheidungssituation" sheetId="2" r:id="rId4"/>
    <sheet name="Ausgangsdaten" sheetId="3" r:id="rId5"/>
    <sheet name="Kriterien und Gewichtung" sheetId="4" r:id="rId6"/>
    <sheet name="Optionsvergleich" sheetId="5" r:id="rId7"/>
    <sheet name="Bewertungsbegründungen" sheetId="6" r:id="rId8"/>
    <sheet name="Datenlücken und Unsicherheiten" sheetId="7" r:id="rId9"/>
    <sheet name="Entscheidungsreife" sheetId="8" r:id="rId10"/>
  </sheets>
  <definedNames>
    <definedName name="_xlnm._FilterDatabase" localSheetId="4" hidden="1">Ausgangsdaten!$A$5:$D$26</definedName>
    <definedName name="_xlnm.Print_Area" localSheetId="0">Übersicht!$A$1:$J$29</definedName>
    <definedName name="_xlnm.Print_Area" localSheetId="3">Entscheidungssituation!$A$1:$D$22</definedName>
    <definedName name="_xlnm.Print_Area" localSheetId="4">Ausgangsdaten!$A$1:$D$37</definedName>
    <definedName name="_xlnm.Print_Area" localSheetId="5">'Kriterien und Gewichtung'!$A$1:$I$12</definedName>
    <definedName name="_xlnm.Print_Titles" localSheetId="4">Ausgangsdaten!$1:$5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5" l="1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J7" i="5"/>
  <c r="I7" i="5"/>
  <c r="H7" i="5"/>
  <c r="G7" i="5"/>
  <c r="J6" i="5"/>
  <c r="I6" i="5"/>
  <c r="H6" i="5"/>
  <c r="G6" i="5"/>
  <c r="J5" i="5"/>
  <c r="J12" i="5" s="1"/>
  <c r="I5" i="5"/>
  <c r="I12" i="5" s="1"/>
  <c r="H5" i="5"/>
  <c r="H12" i="5" s="1"/>
  <c r="G5" i="5"/>
  <c r="G12" i="5" s="1"/>
  <c r="B10" i="4"/>
  <c r="B33" i="3"/>
  <c r="B35" i="3" s="1"/>
  <c r="M5" i="1"/>
  <c r="M4" i="1"/>
</calcChain>
</file>

<file path=xl/sharedStrings.xml><?xml version="1.0" encoding="utf-8"?>
<sst xmlns="http://schemas.openxmlformats.org/spreadsheetml/2006/main" count="403" uniqueCount="337">
  <si>
    <t>Managementübersicht: Priorisierung IT-Projektportfolio</t>
  </si>
  <si>
    <t>Fiktiver Übungsfall | Betrachtungszeitraum 01.01.2027 bis 30.06.2027 | Entscheidung bis 30.10.2026</t>
  </si>
  <si>
    <t>Option</t>
  </si>
  <si>
    <t>Punkte</t>
  </si>
  <si>
    <t>Gesamtbedarf</t>
  </si>
  <si>
    <t>Verfügbar</t>
  </si>
  <si>
    <t>Kapazitätslücke</t>
  </si>
  <si>
    <t>Option 2</t>
  </si>
  <si>
    <t>9,5 FTE</t>
  </si>
  <si>
    <t>6,0 FTE</t>
  </si>
  <si>
    <t>3,5 FTE</t>
  </si>
  <si>
    <t>Option 4</t>
  </si>
  <si>
    <t>Empfehlung</t>
  </si>
  <si>
    <t>Option 4: Projekt B im bestätigten regulatorischen Mindestumfang priorisieren, Projekt A gestaffelt starten und Projekt C bis zum Abschluss der fachlichen Vorprüfung zurückstellen.</t>
  </si>
  <si>
    <t>Entscheidungsstatus</t>
  </si>
  <si>
    <t>Wesentliche Begründung</t>
  </si>
  <si>
    <t>Mit Auflagen entscheidungsreif
K.-o.-Prüfung abgeschlossen
Gewichtung bestätigt
Entscheidung durch Portfolio-Steuerkreis ausstehend</t>
  </si>
  <si>
    <t>• Projekt B erfüllt die angenommene verbindliche Vorgabe.
• Projekt A behält einen Teil des strategischen Nutzens.
• Staffelung reduziert Ressourcenkonflikte.
• Projekt C benötigt weitere Vorprüfung.</t>
  </si>
  <si>
    <t>Auflagen und nächste Schritte</t>
  </si>
  <si>
    <t>Nr.</t>
  </si>
  <si>
    <t>Maßnahme</t>
  </si>
  <si>
    <t>Verantwortung</t>
  </si>
  <si>
    <t>1</t>
  </si>
  <si>
    <t>Mindestumfang und Meilensteine von Projekt B verbindlich planen.</t>
  </si>
  <si>
    <t>2</t>
  </si>
  <si>
    <t>Kapazität von B und gestaffelten Start von A monatlich prüfen.</t>
  </si>
  <si>
    <t>3</t>
  </si>
  <si>
    <t>Projekt C nach Datenschutz-, Datenquellen- und Nutzennachweis erneut vorlegen.</t>
  </si>
  <si>
    <t>4</t>
  </si>
  <si>
    <t>Abweichungen bei Frist, Kapazität oder Vertragsfolgen sofort eskalieren.</t>
  </si>
  <si>
    <t>Erbetene Entscheidung</t>
  </si>
  <si>
    <t>Der Portfolio-Steuerkreis beschließt Option 4 mit den genannten Auflagen oder dokumentiert notwendige Änderungen.</t>
  </si>
  <si>
    <t>Entscheidungsvorlage: Priorisierung des IT-Projektportfolios</t>
  </si>
  <si>
    <t>Fiktiver Übungsfall: NordWerk Service GmbH | Betrachtungszeitraum 01.01.2027 bis 30.06.2027</t>
  </si>
  <si>
    <t>Entscheidung auf einen Blick</t>
  </si>
  <si>
    <t>Vorlagen-ID</t>
  </si>
  <si>
    <t>EV-2026-004</t>
  </si>
  <si>
    <t>Entscheidungsfrage</t>
  </si>
  <si>
    <t>Welche Projektkombination soll im ersten Halbjahr 2027 verbindlich priorisiert werden?</t>
  </si>
  <si>
    <t>Anlass</t>
  </si>
  <si>
    <t>Für alle drei Vorhaben werden 9,5 FTE benötigt. Im relevanten Zeitraum stehen nur 6,0 FTE zur Verfügung.</t>
  </si>
  <si>
    <t>Entscheidung benötigt bis</t>
  </si>
  <si>
    <t>Entscheidungsgremium</t>
  </si>
  <si>
    <t>Portfolio-Steuerkreis</t>
  </si>
  <si>
    <t>Sponsor</t>
  </si>
  <si>
    <t>Geschäftsleitung</t>
  </si>
  <si>
    <t>Erstellerin / koordinierende Rolle</t>
  </si>
  <si>
    <t>PMO</t>
  </si>
  <si>
    <t>Datenstand</t>
  </si>
  <si>
    <t>Bearbeitungsstatus</t>
  </si>
  <si>
    <t>Zur Entscheidung vorgelegt</t>
  </si>
  <si>
    <t>Konsequenz ohne Entscheidung</t>
  </si>
  <si>
    <t>Die Ressourcenplanung bleibt unverbindlich. Das regulatorisch relevante Rechnungsprojekt kann verspätet starten; Zusagen zum Kundenportal bleiben ungeklärt.</t>
  </si>
  <si>
    <t>Betrachtete Projekte</t>
  </si>
  <si>
    <t>A: Digitales Kundenportal | B: Digitaler Rechnungsprozess | C: KI-Wissensassistent</t>
  </si>
  <si>
    <t>Finale Empfehlung</t>
  </si>
  <si>
    <t>Entscheidungsreife</t>
  </si>
  <si>
    <t>Für den fiktiven Übungsfall mit Auflagen entscheidungsreif</t>
  </si>
  <si>
    <t>Begründung</t>
  </si>
  <si>
    <t>Regulatorische Pflicht und Ressourcenlage wurden im Übungsfall als geklärt angenommen. Option 4 sichert Projekt B ab und erhält zugleich einen Teil des Nutzens von Projekt A.</t>
  </si>
  <si>
    <t>K.-o.-Prüfung</t>
  </si>
  <si>
    <t>Für den fiktiven Übungsfall abgeschlossen: Frist und Mindestumfang von Projekt B gelten als bestätigt.</t>
  </si>
  <si>
    <t>Hinweis zur Nutzung</t>
  </si>
  <si>
    <t>Dieses Blatt ist die Managementsicht. Detaildaten, Quellen, Annahmen und Datenlücken stehen im Blatt „Ausgangsdaten“. Blaue Schrift kennzeichnet veränderbare Eingaben.</t>
  </si>
  <si>
    <t>Ausgangsdaten der drei Projektvorhaben</t>
  </si>
  <si>
    <t>Nur entscheidungsrelevante Informationen; Detailnachweise verbleiben in Business Cases, Projektplänen und Risikoregistern.</t>
  </si>
  <si>
    <t>Projektvergleich</t>
  </si>
  <si>
    <t>Projekt A</t>
  </si>
  <si>
    <t>Projekt B</t>
  </si>
  <si>
    <t>Projekt C</t>
  </si>
  <si>
    <t>Projektname</t>
  </si>
  <si>
    <t>Digitales Kundenportal</t>
  </si>
  <si>
    <t>Digitaler Rechnungsprozess</t>
  </si>
  <si>
    <t>KI-Wissensassistent</t>
  </si>
  <si>
    <t>Sponsor / Fachbereich</t>
  </si>
  <si>
    <t>Vertrieb</t>
  </si>
  <si>
    <t>Finanzen</t>
  </si>
  <si>
    <t>Interne Services</t>
  </si>
  <si>
    <t>Projektziel</t>
  </si>
  <si>
    <t>Kunden verwalten Aufträge, Dokumente und Anfragen online.</t>
  </si>
  <si>
    <t>Rechnungs- und Archivierungsprozesse fristgerecht an verbindliche Vorgaben anpassen.</t>
  </si>
  <si>
    <t>Mitarbeitende finden interne Prozess- und Produktinformationen schneller.</t>
  </si>
  <si>
    <t>Projektstatus</t>
  </si>
  <si>
    <t>Vorbereitung</t>
  </si>
  <si>
    <t>Pilot geplant</t>
  </si>
  <si>
    <t>Budget</t>
  </si>
  <si>
    <t>Gesamter Kapazitätsbedarf (FTE)</t>
  </si>
  <si>
    <t>Derzeit verfügbare Schlüsselrollen-Kapazität (FTE)</t>
  </si>
  <si>
    <t>Geplanter Endtermin</t>
  </si>
  <si>
    <t>Terminart</t>
  </si>
  <si>
    <t>Zieltermin</t>
  </si>
  <si>
    <t>verbindlicher Termin; im Übungsfall fachlich bestätigt</t>
  </si>
  <si>
    <t>Pilotziel</t>
  </si>
  <si>
    <t>Erwarteter jährlicher Nutzen</t>
  </si>
  <si>
    <t>nicht primär monetär bewertet</t>
  </si>
  <si>
    <t>Strategischer Beitrag</t>
  </si>
  <si>
    <t>hoch</t>
  </si>
  <si>
    <t>mittel bis hoch</t>
  </si>
  <si>
    <t>mittel</t>
  </si>
  <si>
    <t>Regulatorische Bedeutung</t>
  </si>
  <si>
    <t>niedrig</t>
  </si>
  <si>
    <t>sehr hoch</t>
  </si>
  <si>
    <t>Umsetzungsrisiko</t>
  </si>
  <si>
    <t>Korrigierbarkeit</t>
  </si>
  <si>
    <t>Wesentliche Abhängigkeiten</t>
  </si>
  <si>
    <t>CRM-Schnittstelle, Identitätsmanagement, IT-Sicherheit</t>
  </si>
  <si>
    <t>ERP-System, Finanzbuchhaltung, externer Softwareanbieter</t>
  </si>
  <si>
    <t>Dokumentenqualität, Zugriffsrechte, Datenschutz</t>
  </si>
  <si>
    <t>Datenqualität</t>
  </si>
  <si>
    <t>überwiegend belastbar</t>
  </si>
  <si>
    <t>für den Übungsfall bestätigt</t>
  </si>
  <si>
    <t>teilweise belastbar</t>
  </si>
  <si>
    <t>Quelle</t>
  </si>
  <si>
    <t>Business Case A, Ressourcenübersicht, Risikoregister</t>
  </si>
  <si>
    <t>Fachkonzept B, Compliance-Einschätzung, Anbieterplanung</t>
  </si>
  <si>
    <t>Pilotkonzept C, Stichprobe Wissenssuche</t>
  </si>
  <si>
    <t>Fachlich geprüft durch</t>
  </si>
  <si>
    <t>Vertrieb und IT</t>
  </si>
  <si>
    <t>Finanzen und Compliance</t>
  </si>
  <si>
    <t>Fachbereich; Datenschutzprüfung offen</t>
  </si>
  <si>
    <t>Wesentliche Annahme</t>
  </si>
  <si>
    <t>Kunden nutzen das Portal aktiv und reduzieren manuelle Anfragen.</t>
  </si>
  <si>
    <t>Frist und erforderlicher Mindestumfang bleiben verbindlich.</t>
  </si>
  <si>
    <t>Die durchschnittliche Suchzeit sinkt deutlich.</t>
  </si>
  <si>
    <t>Wesentliche Datenlücke</t>
  </si>
  <si>
    <t>Belastbare Nutzungsquote und Aufwand für Support nach Einführung.</t>
  </si>
  <si>
    <t>für den Übungsfall geklärt: Mindestumfang und Frist bestätigt</t>
  </si>
  <si>
    <t>Belastbarer Nutzennachweis und Freigabe der vorgesehenen Datenquellen.</t>
  </si>
  <si>
    <t>Nutzenart</t>
  </si>
  <si>
    <t>wirtschaftlich und strategisch</t>
  </si>
  <si>
    <t>regulatorisch, organisatorisch und risikovermeidend</t>
  </si>
  <si>
    <t>organisatorisch und wirtschaftlich</t>
  </si>
  <si>
    <t>Konsequenz einer Verschiebung</t>
  </si>
  <si>
    <t>spätere Nutzenrealisierung; mögliche Verzögerung von Vertriebszusagen</t>
  </si>
  <si>
    <t>mögliches Compliance- und Betriebsrisiko</t>
  </si>
  <si>
    <t>späterer Pilot; Nutzenannahme kann zunächst nicht überprüft werden</t>
  </si>
  <si>
    <t>Spätester vertretbarer Start</t>
  </si>
  <si>
    <t>noch festzulegen</t>
  </si>
  <si>
    <t>abhängig vom bestätigten Mindestumfang und Endtermin</t>
  </si>
  <si>
    <t>nach Abschluss von Datenschutz- und Datenquellenprüfung</t>
  </si>
  <si>
    <t>Bereits gebundene externe Kosten</t>
  </si>
  <si>
    <t>noch zu prüfen</t>
  </si>
  <si>
    <t>Anbieterplanung und bestehende Verpflichtungen prüfen</t>
  </si>
  <si>
    <t>noch keine beziehungsweise noch zu bestätigen</t>
  </si>
  <si>
    <t>Kapazitätsengpass im Betrachtungszeitraum</t>
  </si>
  <si>
    <t>Kennzahl</t>
  </si>
  <si>
    <t>Wert</t>
  </si>
  <si>
    <t>Einheit</t>
  </si>
  <si>
    <t>Hinweis</t>
  </si>
  <si>
    <t>Gesamtbedarf aller drei Projekte</t>
  </si>
  <si>
    <t>FTE</t>
  </si>
  <si>
    <t>Summe des angegebenen Kapazitätsbedarfs</t>
  </si>
  <si>
    <t>Verfügbare Portfoliokapazität</t>
  </si>
  <si>
    <t>Fiktive Planannahme für 01.01. bis 30.06.2027</t>
  </si>
  <si>
    <t>Zeigt, warum eine Priorisierungsentscheidung notwendig ist</t>
  </si>
  <si>
    <t>Legende: Blaue Schrift = veränderbare Eingabe | Schwarze Schrift = Formel | Hellrot = offene oder entscheidungskritische Information. Alle Projektdaten sind für die Lernarbeitsprobe synthetisch.</t>
  </si>
  <si>
    <t>Kriterium</t>
  </si>
  <si>
    <t>Gewichtung</t>
  </si>
  <si>
    <t>Leitfrage</t>
  </si>
  <si>
    <t>K.-o.-Prüfung vor dem Optionsvergleich</t>
  </si>
  <si>
    <t>Unterstützt die Option die Unternehmensziele?</t>
  </si>
  <si>
    <t>Kunden-, Prozess- und Digitalisierungsziele berücksichtigen</t>
  </si>
  <si>
    <t>K.-o.-Kriterien werden zuerst geprüft. Eine nicht erfüllte Muss-Bedingung darf nicht durch hohe Punktwerte bei anderen Kriterien ausgeglichen werden.</t>
  </si>
  <si>
    <t>Erwarteter Nutzen</t>
  </si>
  <si>
    <t>Welchen wirtschaftlichen oder organisatorischen Nutzen bringt die Option?</t>
  </si>
  <si>
    <t>monetären und nicht monetären Nutzen berücksichtigen</t>
  </si>
  <si>
    <t>Prüffrage</t>
  </si>
  <si>
    <t>Ergebnis</t>
  </si>
  <si>
    <t>Erläuterung</t>
  </si>
  <si>
    <t>Folge für den Optionsvergleich</t>
  </si>
  <si>
    <t>Dringlichkeit</t>
  </si>
  <si>
    <t>Wie zeitkritisch ist die Umsetzung?</t>
  </si>
  <si>
    <t>verbindliche Termine und Folgen einer Verzögerung</t>
  </si>
  <si>
    <t>Muss Projekt B bis zum 31.03.2027 in einem verbindlichen Mindestumfang umgesetzt sein?</t>
  </si>
  <si>
    <t>Ja, im fiktiven Übungsfall bestätigt</t>
  </si>
  <si>
    <t>Die zuständige Fachrolle bestätigt eine verbindliche Vorgabe einschließlich Frist und Mindestumfang.</t>
  </si>
  <si>
    <t>Optionen, die den Mindestumfang von Projekt B nicht sicherstellen, werden ausgeschlossen.</t>
  </si>
  <si>
    <t>Machbarkeit</t>
  </si>
  <si>
    <t>Ist die Option mit Ressourcen und Technik umsetzbar?</t>
  </si>
  <si>
    <t>Kapazität, Schlüsselrollen und Abhängigkeiten</t>
  </si>
  <si>
    <t>Darf eine Option zugelassen werden, die den bestätigten Mindestumfang von Projekt B nicht sicherstellt?</t>
  </si>
  <si>
    <t>Nein</t>
  </si>
  <si>
    <t>Die verbindliche Vorgabe darf nicht durch hohe Punktwerte bei Nutzen, Strategie oder anderen Kriterien ausgeglichen werden.</t>
  </si>
  <si>
    <t>Die betroffene Option wird nicht in die abschließende Rangfolge aufgenommen.</t>
  </si>
  <si>
    <t>Risikobeherrschung</t>
  </si>
  <si>
    <t>Wie beherrschbar sind die Risiken?</t>
  </si>
  <si>
    <t>hohe Punktzahl bedeutet günstige Risikosituation</t>
  </si>
  <si>
    <t>Ist die aktuelle Gewichtung vor der Bewertung verbindlich abgestimmt?</t>
  </si>
  <si>
    <t>Ja, für den Übungsfall bestätigt</t>
  </si>
  <si>
    <t>Die Gewichtung wurde vor der abschließenden Bewertung festgelegt und beträgt insgesamt 100 Prozent.</t>
  </si>
  <si>
    <t>Keine endgültige Rangfolge, solange die Gewichtung nicht bestätigt ist.</t>
  </si>
  <si>
    <t>Werden verbindliche Anforderungen eingehalten?</t>
  </si>
  <si>
    <t>bestätigte Pflicht kann K.-o.-Kriterium sein</t>
  </si>
  <si>
    <t>Sind Gesamtbedarf und verfügbare Schlüsselrollen-Kapazität für Projekt B bestätigt?</t>
  </si>
  <si>
    <t>Ja, für Option 4 bestätigt</t>
  </si>
  <si>
    <t>3,0 FTE Gesamtbedarf von Projekt B und die verfügbare Schlüsselrollen-Kapazität wurden im fiktiven Szenario geprüft.</t>
  </si>
  <si>
    <t>Option 4 ist unter monatlicher Kapazitätskontrolle umsetzbar.</t>
  </si>
  <si>
    <t>Abhängigkeiten</t>
  </si>
  <si>
    <t>Welche Auswirkungen entstehen für andere Vorhaben?</t>
  </si>
  <si>
    <t>System- und Projektabhängigkeiten</t>
  </si>
  <si>
    <t>Aktueller Gesamtstatus</t>
  </si>
  <si>
    <t>Abgeschlossen</t>
  </si>
  <si>
    <t>K.-o.-Prüfung für den fiktiven Übungsfall abgeschlossen. Nur zulässige Optionen werden in die abschließende Rangfolge aufgenommen.</t>
  </si>
  <si>
    <t>Summe</t>
  </si>
  <si>
    <t>Merke: Gewichtete Kriterien ordnen zulässige Optionen. K.-o.-Kriterien entscheiden vorher, welche Optionen überhaupt zulässig sind.</t>
  </si>
  <si>
    <t>Optionsvergleich nach abgeschlossener K.-o.-Prüfung</t>
  </si>
  <si>
    <t>Bewertungsskala: 1 = sehr ungünstig, 5 = sehr günstig. Die Punktwerte und Klärungsergebnisse sind für den fiktiven Übungsfall angenommen.</t>
  </si>
  <si>
    <t>Gewicht</t>
  </si>
  <si>
    <t>Opt. 1</t>
  </si>
  <si>
    <t>Opt. 2</t>
  </si>
  <si>
    <t>Opt. 3</t>
  </si>
  <si>
    <t>Opt. 4</t>
  </si>
  <si>
    <t>Gew. Opt. 1</t>
  </si>
  <si>
    <t>Gew. Opt. 2</t>
  </si>
  <si>
    <t>Gew. Opt. 3</t>
  </si>
  <si>
    <t>Gew. Opt. 4</t>
  </si>
  <si>
    <t>Kurzbegründung Option 4</t>
  </si>
  <si>
    <t>B sichert Pflicht; A bleibt gestaffelt aktiv.</t>
  </si>
  <si>
    <t>Regulatorischer Nutzen B plus Teilnutzen A.</t>
  </si>
  <si>
    <t>Verbindliche Frist von B wird abgesichert.</t>
  </si>
  <si>
    <t>Umsetzbar mit monatlicher Kapazitätskontrolle.</t>
  </si>
  <si>
    <t>Compliance- und Überlastungsrisiko werden begrenzt.</t>
  </si>
  <si>
    <t>Bestätigter Mindestumfang von B wird erfüllt.</t>
  </si>
  <si>
    <t>Gestaffelter Start reduziert Ressourcenkonflikte.</t>
  </si>
  <si>
    <t>Gewichtete Gesamtpunktzahl</t>
  </si>
  <si>
    <t>K.-o.-Status der vier Optionen</t>
  </si>
  <si>
    <t>Beschreibung</t>
  </si>
  <si>
    <t>K.-o.-Status</t>
  </si>
  <si>
    <t>Folge</t>
  </si>
  <si>
    <t>Option 1</t>
  </si>
  <si>
    <t>Projekt A priorisieren</t>
  </si>
  <si>
    <t>nicht zulässig</t>
  </si>
  <si>
    <t>Mindestumfang von Projekt B wäre nicht abgesichert.</t>
  </si>
  <si>
    <t>Projekt B priorisieren</t>
  </si>
  <si>
    <t>zulässig</t>
  </si>
  <si>
    <t>Erfüllt Pflicht, verschiebt aber Nutzen von A vollständig.</t>
  </si>
  <si>
    <t>Option 3</t>
  </si>
  <si>
    <t>Ressourcen auf alle Projekte verteilen</t>
  </si>
  <si>
    <t>Mindestumfang und Termin von B wären nicht zuverlässig gesichert.</t>
  </si>
  <si>
    <t>Projekt B absichern, A gestaffelt starten</t>
  </si>
  <si>
    <t>zulässig und empfohlen</t>
  </si>
  <si>
    <t>Erfüllt Pflicht und erhält Teilnutzen von A.</t>
  </si>
  <si>
    <t>Begründungen der Optionsbewertung</t>
  </si>
  <si>
    <t>A maximiert strategischen Kundennutzen.</t>
  </si>
  <si>
    <t>B erfüllt Pflicht, geringer zusätzlicher Strategienutzen.</t>
  </si>
  <si>
    <t>Alle Vorhaben bleiben aktiv, aber ohne klare Priorität.</t>
  </si>
  <si>
    <t>B wird abgesichert; A bleibt strategisch aktiv.</t>
  </si>
  <si>
    <t>Fiktive Bewertung; in der Praxis durch Fachrollen zu bestätigen.</t>
  </si>
  <si>
    <t>Höchster monetärer Nutzen, aber Pflicht B gefährdet.</t>
  </si>
  <si>
    <t>Regulatorischer Nutzen, A-Nutzen wird verschoben.</t>
  </si>
  <si>
    <t>Teilnutzen mehrerer Projekte, aber hohe Reibungsverluste.</t>
  </si>
  <si>
    <t>Regulatorischer Nutzen plus Teilnutzen A.</t>
  </si>
  <si>
    <t>Frist B nicht ausreichend berücksichtigt.</t>
  </si>
  <si>
    <t>Frist B vollständig abgesichert.</t>
  </si>
  <si>
    <t>Frist B durch Teilung unsicher.</t>
  </si>
  <si>
    <t>Frist B abgesichert, A startet gestaffelt.</t>
  </si>
  <si>
    <t>A machbar, Gesamtportfolio bleibt konfliktbehaftet.</t>
  </si>
  <si>
    <t>B mit vorhandener Planung machbar.</t>
  </si>
  <si>
    <t>Parallele Teilung erzeugt Überlastung und Kontextwechsel.</t>
  </si>
  <si>
    <t>Machbar unter monatlicher Kapazitätskontrolle.</t>
  </si>
  <si>
    <t>Compliance-Risiko bleibt hoch.</t>
  </si>
  <si>
    <t>Compliance-Risiko niedrig, strategischer Nutzen A entfällt zunächst.</t>
  </si>
  <si>
    <t>Mehrere Termin- und Überlastungsrisiken.</t>
  </si>
  <si>
    <t>Pflicht B nicht erfüllt.</t>
  </si>
  <si>
    <t>Pflicht B erfüllt.</t>
  </si>
  <si>
    <t>Pflichterfüllung nicht zuverlässig.</t>
  </si>
  <si>
    <t>CRM und Schlüsselrollen werden gebunden.</t>
  </si>
  <si>
    <t>ERP-/Finanzabhängigkeiten werden fokussiert bearbeitet.</t>
  </si>
  <si>
    <t>Gemeinsame Ressourcen bleiben konfliktbehaftet.</t>
  </si>
  <si>
    <t>Staffelung reduziert Ressourcenkonflikte.</t>
  </si>
  <si>
    <t>Offene Information</t>
  </si>
  <si>
    <t>Betroffene Option</t>
  </si>
  <si>
    <t>Auswirkung</t>
  </si>
  <si>
    <t>Zuständige Rolle</t>
  </si>
  <si>
    <t>Klärung bis</t>
  </si>
  <si>
    <t>Status</t>
  </si>
  <si>
    <t>Priorität der Klärung</t>
  </si>
  <si>
    <t>Erforderlicher Nachweis</t>
  </si>
  <si>
    <t>Auswirkung auf Entscheidungsreife</t>
  </si>
  <si>
    <t>Ergebnis oder Rückmeldung</t>
  </si>
  <si>
    <t>regulatorische Pflicht von Projekt B</t>
  </si>
  <si>
    <t>alle Optionen</t>
  </si>
  <si>
    <t>kann Priorisierung verändern</t>
  </si>
  <si>
    <t>Compliance</t>
  </si>
  <si>
    <t>geklärt (fiktiv)</t>
  </si>
  <si>
    <t>Schriftliche Fach- oder Compliance-Bestätigung zu Quelle, Frist und Mindestumfang</t>
  </si>
  <si>
    <t>K.-o.-Bedingung bestätigt; Optionen ohne Absicherung von Projekt B sind ausgeschlossen.</t>
  </si>
  <si>
    <t>Die Fachrolle bestätigt im Übungsfall Quelle, Frist 31.03.2027 und verbindlichen Mindestumfang.</t>
  </si>
  <si>
    <t>aktuelle Ressourcendaten</t>
  </si>
  <si>
    <t>alle Optionen, besonders Option 4</t>
  </si>
  <si>
    <t>Machbarkeit und Terminplanung unklar</t>
  </si>
  <si>
    <t>Ressourcenmanagement</t>
  </si>
  <si>
    <t>Bestätigte Kapazitätsplanung: 3,0 FTE Gesamtbedarf, Zeitraum, Kompetenzen und verfügbare 1,5 FTE Schlüsselrollen-Kapazität</t>
  </si>
  <si>
    <t>Option 4 ist unter monatlicher Kapazitätskontrolle machbar.</t>
  </si>
  <si>
    <t>Die Planung bestätigt 3,0 FTE Gesamtbedarf für Projekt B sowie die Verfügbarkeit der benötigten Schlüsselrollen im vorgesehenen Zeitraum.</t>
  </si>
  <si>
    <t>Kundenzusage</t>
  </si>
  <si>
    <t>Optionen mit Verschiebung von Projekt B</t>
  </si>
  <si>
    <t>Mögliche vertragliche oder geschäftliche Folge</t>
  </si>
  <si>
    <t>Vertragsunterlage oder schriftliche Vertriebsbestätigung zu Zusage und Folgen einer Verschiebung</t>
  </si>
  <si>
    <t>Kein Ausschlussgrund; Auswirkungen gelten als beherrschbar.</t>
  </si>
  <si>
    <t>Im Übungsfall entstehen keine Vertragsfolgen, die dem gestaffelten Start von Projekt A oder der Priorisierung von Projekt B entgegenstehen.</t>
  </si>
  <si>
    <t>Prüfung der Entscheidungsreife</t>
  </si>
  <si>
    <t>Prüfpunkt</t>
  </si>
  <si>
    <t>Bedeutung</t>
  </si>
  <si>
    <t>Quellen und Datenstand benannt</t>
  </si>
  <si>
    <t>Ja</t>
  </si>
  <si>
    <t>Im Übungsfall als bestätigt angenommen.</t>
  </si>
  <si>
    <t>Grundlage vorhanden</t>
  </si>
  <si>
    <t>Wesentliche Datenlücken sichtbar und bearbeitet</t>
  </si>
  <si>
    <t>Regulatorik, Ressourcen und Kundenzusage wurden fiktiv geklärt.</t>
  </si>
  <si>
    <t>K.-o.-Kriterien geklärt</t>
  </si>
  <si>
    <t>Frist und Mindestumfang von Projekt B gelten als bestätigt.</t>
  </si>
  <si>
    <t>Zulässige Optionen bestimmt</t>
  </si>
  <si>
    <t>Kriterien und Gewichtungen nachvollziehbar</t>
  </si>
  <si>
    <t>Gewichte vor Bewertung festgelegt; Summe 100 %.</t>
  </si>
  <si>
    <t>Vergleich nachvollziehbar</t>
  </si>
  <si>
    <t>Annahmen und Unsicherheiten dokumentiert</t>
  </si>
  <si>
    <t>Fiktive Annahmen sind ausdrücklich gekennzeichnet.</t>
  </si>
  <si>
    <t>Transparenz vorhanden</t>
  </si>
  <si>
    <t>Auswirkungen beschrieben</t>
  </si>
  <si>
    <t>Regulatorische, Ressourcen- und Verschiebungsfolgen berücksichtigt.</t>
  </si>
  <si>
    <t>Abwägung möglich</t>
  </si>
  <si>
    <t>Handlungsoptionen bewertet</t>
  </si>
  <si>
    <t>Vier Optionen bewertet; zwei Optionen durch K.-o.-Logik ausgeschlossen.</t>
  </si>
  <si>
    <t>Rangfolge vorhanden</t>
  </si>
  <si>
    <t>Ressourcen für Option 4 ausreichend</t>
  </si>
  <si>
    <t>Ja, unter Auflagen</t>
  </si>
  <si>
    <t>Monatliche Kapazitätskontrolle erforderlich.</t>
  </si>
  <si>
    <t>Auflage notwendig</t>
  </si>
  <si>
    <t>Entscheidungsrolle benannt</t>
  </si>
  <si>
    <t>Portfolio-Steuerkreis / Portfoliogremium.</t>
  </si>
  <si>
    <t>Verantwortung geklärt</t>
  </si>
  <si>
    <t>Vorlage verständlich</t>
  </si>
  <si>
    <t>Simulierter Sponsor-Review für den Übungsfall.</t>
  </si>
  <si>
    <t>Vorlage vorlegbar</t>
  </si>
  <si>
    <t>Gesamtergebnis</t>
  </si>
  <si>
    <t>Für den fiktiven Übungsfall mit Auflagen entscheidungsreif. Option 4 kann dem Portfoliogremium zur Entscheidung vorgelegt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</si>
</sst>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\ [$€-407];[Red]\(#,##0\ [$€-407]\);\-"/>
    <numFmt numFmtId="166" formatCode="0.0\ &quot;FTE&quot;"/>
    <numFmt numFmtId="167" formatCode="0.0"/>
  </numFmts>
  <fonts count="27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8"/>
      <color rgb="FFFFFFFF"/>
      <name val="Aptos Display"/>
    </font>
    <font>
      <i/>
      <sz val="10"/>
      <color rgb="FF17365D"/>
      <name val="Aptos"/>
    </font>
    <font>
      <b/>
      <sz val="11"/>
      <color rgb="FFFFFFFF"/>
      <name val="Aptos"/>
    </font>
    <font>
      <b/>
      <sz val="10"/>
      <color rgb="FF17365D"/>
      <name val="Aptos"/>
    </font>
    <font>
      <sz val="10"/>
      <color rgb="FF0000FF"/>
      <name val="Aptos"/>
    </font>
    <font>
      <i/>
      <sz val="9"/>
      <color rgb="FF666666"/>
      <name val="Aptos"/>
    </font>
    <font>
      <b/>
      <sz val="10"/>
      <color rgb="FFFFFFFF"/>
      <name val="Aptos"/>
    </font>
    <font>
      <sz val="10"/>
      <color rgb="FF000000"/>
      <name val="Aptos"/>
    </font>
    <font>
      <b/>
      <sz val="10"/>
      <color rgb="FF000000"/>
      <name val="Aptos"/>
    </font>
    <font>
      <b/>
      <sz val="11"/>
      <color theme="1"/>
      <name val="Segoe UI"/>
      <charset val="1"/>
    </font>
    <font>
      <i/>
      <sz val="9"/>
      <color rgb="FF17365D"/>
      <name val="Aptos"/>
    </font>
    <font>
      <b/>
      <sz val="9"/>
      <color rgb="FFFFFFFF"/>
      <name val="Aptos"/>
    </font>
    <font>
      <sz val="9"/>
      <color rgb="FF1F1F1F"/>
      <name val="Aptos"/>
    </font>
    <font>
      <sz val="9"/>
      <color rgb="FF0000FF"/>
      <name val="Aptos"/>
    </font>
    <font>
      <b/>
      <sz val="10"/>
      <color rgb="FF9C0006"/>
      <name val="Aptos"/>
    </font>
    <font>
      <b/>
      <sz val="9"/>
      <color rgb="FF17365D"/>
      <name val="Aptos"/>
    </font>
    <font>
      <b/>
      <sz val="11"/>
      <color rgb="FF006100"/>
      <name val="Aptos"/>
    </font>
    <font>
      <b/>
      <sz val="20"/>
      <color rgb="FF9C0006"/>
      <name val="Aptos Display"/>
    </font>
    <font>
      <b/>
      <sz val="20"/>
      <color rgb="FF17365D"/>
      <name val="Aptos Display"/>
    </font>
    <font>
      <b/>
      <sz val="20"/>
      <color rgb="FF9C6500"/>
      <name val="Aptos Display"/>
    </font>
    <font>
      <b/>
      <sz val="12"/>
      <color rgb="FF006100"/>
      <name val="Aptos"/>
    </font>
    <font>
      <sz val="10"/>
      <color rgb="FF1F1F1F"/>
      <name val="Aptos"/>
    </font>
    <font>
      <b/>
      <sz val="11"/>
      <color rgb="FF9C6500"/>
      <name val="Aptos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9FB"/>
      </patternFill>
    </fill>
    <fill>
      <patternFill patternType="solid">
        <fgColor rgb="FF2F75B5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EF5FB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13" fillId="0" borderId="0" xfId="0" applyFont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0" fontId="15" fillId="6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vertical="top" wrapText="1"/>
    </xf>
    <xf numFmtId="0" fontId="0" fillId="0" borderId="2" xfId="0" applyBorder="1"/>
    <xf numFmtId="0" fontId="16" fillId="0" borderId="2" xfId="0" applyFont="1" applyBorder="1" applyAlignment="1">
      <alignment vertical="top" wrapText="1"/>
    </xf>
    <xf numFmtId="0" fontId="7" fillId="13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164" fontId="8" fillId="2" borderId="2" xfId="0" applyNumberFormat="1" applyFont="1" applyFill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top" wrapText="1"/>
    </xf>
    <xf numFmtId="165" fontId="8" fillId="2" borderId="2" xfId="0" applyNumberFormat="1" applyFont="1" applyFill="1" applyBorder="1" applyAlignment="1">
      <alignment vertical="top" wrapText="1"/>
    </xf>
    <xf numFmtId="165" fontId="8" fillId="3" borderId="2" xfId="0" applyNumberFormat="1" applyFont="1" applyFill="1" applyBorder="1" applyAlignment="1">
      <alignment vertical="top" wrapText="1"/>
    </xf>
    <xf numFmtId="166" fontId="8" fillId="2" borderId="2" xfId="0" applyNumberFormat="1" applyFont="1" applyFill="1" applyBorder="1" applyAlignment="1">
      <alignment vertical="top" wrapText="1"/>
    </xf>
    <xf numFmtId="166" fontId="8" fillId="3" borderId="2" xfId="0" applyNumberFormat="1" applyFont="1" applyFill="1" applyBorder="1" applyAlignment="1">
      <alignment vertical="top" wrapText="1"/>
    </xf>
    <xf numFmtId="164" fontId="8" fillId="3" borderId="2" xfId="0" applyNumberFormat="1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167" fontId="11" fillId="2" borderId="2" xfId="0" applyNumberFormat="1" applyFont="1" applyFill="1" applyBorder="1" applyAlignment="1">
      <alignment vertical="top" wrapText="1"/>
    </xf>
    <xf numFmtId="167" fontId="8" fillId="2" borderId="2" xfId="0" applyNumberFormat="1" applyFont="1" applyFill="1" applyBorder="1" applyAlignment="1">
      <alignment vertical="top" wrapText="1"/>
    </xf>
    <xf numFmtId="167" fontId="12" fillId="10" borderId="2" xfId="0" applyNumberFormat="1" applyFont="1" applyFill="1" applyBorder="1" applyAlignment="1">
      <alignment vertical="top" wrapText="1"/>
    </xf>
    <xf numFmtId="0" fontId="15" fillId="9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vertical="top" wrapText="1"/>
    </xf>
    <xf numFmtId="0" fontId="17" fillId="10" borderId="2" xfId="0" applyFont="1" applyFill="1" applyBorder="1" applyAlignment="1">
      <alignment vertical="top" wrapText="1"/>
    </xf>
    <xf numFmtId="0" fontId="17" fillId="2" borderId="2" xfId="0" applyFont="1" applyFill="1" applyBorder="1" applyAlignment="1">
      <alignment vertical="top" wrapText="1"/>
    </xf>
    <xf numFmtId="0" fontId="7" fillId="13" borderId="2" xfId="0" applyFont="1" applyFill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9" fontId="16" fillId="8" borderId="2" xfId="0" applyNumberFormat="1" applyFont="1" applyFill="1" applyBorder="1" applyAlignment="1">
      <alignment vertical="top" wrapText="1"/>
    </xf>
    <xf numFmtId="2" fontId="16" fillId="8" borderId="2" xfId="0" applyNumberFormat="1" applyFont="1" applyFill="1" applyBorder="1" applyAlignment="1">
      <alignment vertical="top" wrapText="1"/>
    </xf>
    <xf numFmtId="9" fontId="16" fillId="0" borderId="2" xfId="0" applyNumberFormat="1" applyFont="1" applyBorder="1" applyAlignment="1">
      <alignment vertical="top" wrapText="1"/>
    </xf>
    <xf numFmtId="2" fontId="16" fillId="0" borderId="2" xfId="0" applyNumberFormat="1" applyFont="1" applyBorder="1" applyAlignment="1">
      <alignment vertical="top" wrapText="1"/>
    </xf>
    <xf numFmtId="0" fontId="19" fillId="7" borderId="2" xfId="0" applyFont="1" applyFill="1" applyBorder="1" applyAlignment="1">
      <alignment vertical="top" wrapText="1"/>
    </xf>
    <xf numFmtId="2" fontId="19" fillId="7" borderId="2" xfId="0" applyNumberFormat="1" applyFont="1" applyFill="1" applyBorder="1" applyAlignment="1">
      <alignment vertical="top" wrapText="1"/>
    </xf>
    <xf numFmtId="0" fontId="16" fillId="10" borderId="2" xfId="0" applyFont="1" applyFill="1" applyBorder="1" applyAlignment="1">
      <alignment vertical="top" wrapText="1"/>
    </xf>
    <xf numFmtId="0" fontId="16" fillId="11" borderId="2" xfId="0" applyFont="1" applyFill="1" applyBorder="1" applyAlignment="1">
      <alignment vertical="top" wrapText="1"/>
    </xf>
    <xf numFmtId="0" fontId="10" fillId="6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7" fillId="7" borderId="0" xfId="0" applyFont="1" applyFill="1" applyAlignment="1">
      <alignment vertical="center" wrapText="1"/>
    </xf>
    <xf numFmtId="0" fontId="6" fillId="9" borderId="0" xfId="0" applyFont="1" applyFill="1" applyAlignment="1">
      <alignment vertical="center"/>
    </xf>
    <xf numFmtId="0" fontId="14" fillId="7" borderId="0" xfId="0" applyFont="1" applyFill="1" applyAlignment="1">
      <alignment horizontal="center"/>
    </xf>
    <xf numFmtId="0" fontId="16" fillId="0" borderId="2" xfId="0" applyFont="1" applyBorder="1" applyAlignment="1">
      <alignment vertical="top" wrapText="1"/>
    </xf>
    <xf numFmtId="0" fontId="23" fillId="12" borderId="0" xfId="0" applyFont="1" applyFill="1" applyAlignment="1">
      <alignment horizontal="center" vertical="center"/>
    </xf>
    <xf numFmtId="0" fontId="24" fillId="11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/>
    </xf>
    <xf numFmtId="0" fontId="16" fillId="8" borderId="2" xfId="0" applyFont="1" applyFill="1" applyBorder="1" applyAlignment="1">
      <alignment vertical="top" wrapText="1"/>
    </xf>
    <xf numFmtId="0" fontId="25" fillId="13" borderId="0" xfId="0" applyFont="1" applyFill="1" applyAlignment="1">
      <alignment vertical="center" wrapText="1"/>
    </xf>
    <xf numFmtId="0" fontId="26" fillId="12" borderId="0" xfId="0" applyFont="1" applyFill="1" applyAlignment="1">
      <alignment vertical="center" wrapText="1"/>
    </xf>
    <xf numFmtId="0" fontId="9" fillId="12" borderId="0" xfId="0" applyFont="1" applyFill="1" applyAlignment="1">
      <alignment vertical="top" wrapText="1"/>
    </xf>
    <xf numFmtId="164" fontId="8" fillId="2" borderId="2" xfId="0" applyNumberFormat="1" applyFont="1" applyFill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4" fillId="6" borderId="0" xfId="0" applyFont="1" applyFill="1" applyAlignment="1">
      <alignment horizontal="left" vertical="center"/>
    </xf>
    <xf numFmtId="0" fontId="8" fillId="5" borderId="2" xfId="0" applyFont="1" applyFill="1" applyBorder="1" applyAlignment="1">
      <alignment vertical="top" wrapText="1"/>
    </xf>
    <xf numFmtId="0" fontId="5" fillId="7" borderId="0" xfId="0" applyFont="1" applyFill="1" applyAlignment="1">
      <alignment vertical="center" wrapText="1"/>
    </xf>
    <xf numFmtId="0" fontId="19" fillId="12" borderId="0" xfId="0" applyFont="1" applyFill="1" applyAlignment="1">
      <alignment vertical="center" wrapText="1"/>
    </xf>
    <xf numFmtId="0" fontId="16" fillId="12" borderId="2" xfId="0" applyFont="1" applyFill="1" applyBorder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6" fillId="6" borderId="0" xfId="0" applyFont="1" applyFill="1" applyAlignment="1">
      <alignment horizontal="left" vertical="center"/>
    </xf>
    <xf numFmtId="0" fontId="14" fillId="7" borderId="0" xfId="0" applyFont="1" applyFill="1" applyAlignment="1">
      <alignment wrapText="1"/>
    </xf>
    <xf numFmtId="0" fontId="20" fillId="11" borderId="0" xfId="0" applyFont="1" applyFill="1" applyAlignment="1">
      <alignment vertical="center" wrapText="1"/>
    </xf>
    <xf numFmtId="0" fontId="0" fillId="0" borderId="0" xfId="0" applyAlignment="1"/>
    <xf numFmtId="0" fontId="0" fillId="0" borderId="2" xfId="0" applyBorder="1" applyAlignment="1"/>
  </cellXfs>
  <cellStyles count="1">
    <cellStyle name="Standard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Gewichtete Punktzahl zulässiger Optionen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Übersicht!M3</c:f>
              <c:strCache>
                <c:ptCount val="1"/>
                <c:pt idx="0">
                  <c:v>Punkte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Übersicht!$L$4:$L$5</c:f>
              <c:strCache>
                <c:ptCount val="2"/>
                <c:pt idx="0">
                  <c:v>Option 2</c:v>
                </c:pt>
                <c:pt idx="1">
                  <c:v>Option 4</c:v>
                </c:pt>
              </c:strCache>
            </c:strRef>
          </c:cat>
          <c:val>
            <c:numRef>
              <c:f>Übersicht!$M$4:$M$5</c:f>
              <c:numCache>
                <c:formatCode>General</c:formatCode>
                <c:ptCount val="2"/>
                <c:pt idx="0">
                  <c:v>3.7</c:v>
                </c:pt>
                <c:pt idx="1">
                  <c:v>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5-4E34-A4DB-DB32B5228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Punkte (max. 5)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485775</xdr:colOff>
      <xdr:row>7</xdr:row>
      <xdr:rowOff>142875</xdr:rowOff>
    </xdr:from>
    <xdr:ext cx="2700000" cy="162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enlueckenTabelle" displayName="DatenlueckenTabelle" ref="A1:J4">
  <autoFilter ref="A1:J4" xr:uid="{00000000-0009-0000-0100-000001000000}"/>
  <tableColumns count="10">
    <tableColumn id="1" xr3:uid="{00000000-0010-0000-0000-000001000000}" name="Offene Information"/>
    <tableColumn id="2" xr3:uid="{00000000-0010-0000-0000-000002000000}" name="Betroffene Option"/>
    <tableColumn id="3" xr3:uid="{00000000-0010-0000-0000-000003000000}" name="Auswirkung"/>
    <tableColumn id="4" xr3:uid="{00000000-0010-0000-0000-000004000000}" name="Zuständige Rolle"/>
    <tableColumn id="5" xr3:uid="{00000000-0010-0000-0000-000005000000}" name="Klärung bis"/>
    <tableColumn id="6" xr3:uid="{00000000-0010-0000-0000-000006000000}" name="Status"/>
    <tableColumn id="7" xr3:uid="{00000000-0010-0000-0000-000007000000}" name="Priorität der Klärung"/>
    <tableColumn id="8" xr3:uid="{00000000-0010-0000-0000-000008000000}" name="Erforderlicher Nachweis"/>
    <tableColumn id="9" xr3:uid="{00000000-0010-0000-0000-000009000000}" name="Auswirkung auf Entscheidungsreife"/>
    <tableColumn id="10" xr3:uid="{00000000-0010-0000-0000-00000A000000}" name="Ergebnis oder Rückmeld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9"/>
  <sheetViews>
    <sheetView showGridLines="0" tabSelected="1" workbookViewId="0"/>
  </sheetViews>
  <sheetFormatPr defaultRowHeight="15"/>
  <cols>
    <col min="1" max="1" width="8" customWidth="1"/>
    <col min="2" max="10" width="14" customWidth="1"/>
    <col min="12" max="13" width="12" customWidth="1"/>
  </cols>
  <sheetData>
    <row r="1" spans="1:13" ht="32.1" customHeight="1">
      <c r="A1" s="48" t="s">
        <v>0</v>
      </c>
      <c r="B1" s="72"/>
      <c r="C1" s="72"/>
      <c r="D1" s="72"/>
      <c r="E1" s="72"/>
      <c r="F1" s="72"/>
      <c r="G1" s="72"/>
      <c r="H1" s="72"/>
      <c r="I1" s="72"/>
      <c r="J1" s="72"/>
    </row>
    <row r="2" spans="1:13">
      <c r="A2" s="51" t="s">
        <v>1</v>
      </c>
      <c r="B2" s="72"/>
      <c r="C2" s="72"/>
      <c r="D2" s="72"/>
      <c r="E2" s="72"/>
      <c r="F2" s="72"/>
      <c r="G2" s="72"/>
      <c r="H2" s="72"/>
      <c r="I2" s="72"/>
      <c r="J2" s="72"/>
    </row>
    <row r="3" spans="1:13">
      <c r="L3" t="s">
        <v>2</v>
      </c>
      <c r="M3" t="s">
        <v>3</v>
      </c>
    </row>
    <row r="4" spans="1:13">
      <c r="A4" s="46" t="s">
        <v>4</v>
      </c>
      <c r="B4" s="72"/>
      <c r="C4" s="72"/>
      <c r="D4" s="46" t="s">
        <v>5</v>
      </c>
      <c r="E4" s="72"/>
      <c r="F4" s="72"/>
      <c r="G4" s="46" t="s">
        <v>6</v>
      </c>
      <c r="H4" s="72"/>
      <c r="I4" s="72"/>
      <c r="J4" s="72"/>
      <c r="L4" t="s">
        <v>7</v>
      </c>
      <c r="M4">
        <f>Optionsvergleich!H12</f>
        <v>3.7</v>
      </c>
    </row>
    <row r="5" spans="1:13">
      <c r="A5" s="47" t="s">
        <v>8</v>
      </c>
      <c r="B5" s="72"/>
      <c r="C5" s="72"/>
      <c r="D5" s="55" t="s">
        <v>9</v>
      </c>
      <c r="E5" s="72"/>
      <c r="F5" s="72"/>
      <c r="G5" s="53" t="s">
        <v>10</v>
      </c>
      <c r="H5" s="72"/>
      <c r="I5" s="72"/>
      <c r="J5" s="72"/>
      <c r="L5" t="s">
        <v>11</v>
      </c>
      <c r="M5">
        <f>Optionsvergleich!J12</f>
        <v>4.45</v>
      </c>
    </row>
    <row r="6" spans="1:13">
      <c r="A6" s="72"/>
      <c r="B6" s="72"/>
      <c r="C6" s="72"/>
      <c r="D6" s="72"/>
      <c r="E6" s="72"/>
      <c r="F6" s="72"/>
      <c r="G6" s="72"/>
      <c r="H6" s="72"/>
      <c r="I6" s="72"/>
      <c r="J6" s="72"/>
    </row>
    <row r="7" spans="1:13">
      <c r="A7" s="72"/>
      <c r="B7" s="72"/>
      <c r="C7" s="72"/>
      <c r="D7" s="72"/>
      <c r="E7" s="72"/>
      <c r="F7" s="72"/>
      <c r="G7" s="72"/>
      <c r="H7" s="72"/>
      <c r="I7" s="72"/>
      <c r="J7" s="72"/>
    </row>
    <row r="9" spans="1:13" ht="23.1" customHeight="1">
      <c r="A9" s="50" t="s">
        <v>12</v>
      </c>
      <c r="B9" s="72"/>
      <c r="C9" s="72"/>
      <c r="D9" s="72"/>
      <c r="E9" s="72"/>
      <c r="F9" s="72"/>
      <c r="G9" s="72"/>
      <c r="H9" s="72"/>
      <c r="I9" s="72"/>
      <c r="J9" s="72"/>
    </row>
    <row r="10" spans="1:13">
      <c r="A10" s="54" t="s">
        <v>13</v>
      </c>
      <c r="B10" s="72"/>
      <c r="C10" s="72"/>
      <c r="D10" s="72"/>
      <c r="E10" s="72"/>
      <c r="F10" s="72"/>
      <c r="G10" s="72"/>
      <c r="H10" s="72"/>
      <c r="I10" s="72"/>
      <c r="J10" s="72"/>
    </row>
    <row r="11" spans="1:13">
      <c r="A11" s="72"/>
      <c r="B11" s="72"/>
      <c r="C11" s="72"/>
      <c r="D11" s="72"/>
      <c r="E11" s="72"/>
      <c r="F11" s="72"/>
      <c r="G11" s="72"/>
      <c r="H11" s="72"/>
      <c r="I11" s="72"/>
      <c r="J11" s="72"/>
    </row>
    <row r="12" spans="1:13">
      <c r="A12" s="72"/>
      <c r="B12" s="72"/>
      <c r="C12" s="72"/>
      <c r="D12" s="72"/>
      <c r="E12" s="72"/>
      <c r="F12" s="72"/>
      <c r="G12" s="72"/>
      <c r="H12" s="72"/>
      <c r="I12" s="72"/>
      <c r="J12" s="72"/>
    </row>
    <row r="14" spans="1:13" ht="23.1" customHeight="1">
      <c r="A14" s="50" t="s">
        <v>14</v>
      </c>
      <c r="B14" s="72"/>
      <c r="C14" s="72"/>
      <c r="D14" s="72"/>
      <c r="E14" s="72"/>
      <c r="F14" s="50" t="s">
        <v>15</v>
      </c>
      <c r="G14" s="72"/>
      <c r="H14" s="72"/>
      <c r="I14" s="72"/>
      <c r="J14" s="72"/>
    </row>
    <row r="15" spans="1:13">
      <c r="A15" s="49" t="s">
        <v>16</v>
      </c>
      <c r="B15" s="72"/>
      <c r="C15" s="72"/>
      <c r="D15" s="72"/>
      <c r="E15" s="72"/>
      <c r="F15" s="57" t="s">
        <v>17</v>
      </c>
      <c r="G15" s="72"/>
      <c r="H15" s="72"/>
      <c r="I15" s="72"/>
      <c r="J15" s="72"/>
    </row>
    <row r="16" spans="1:13">
      <c r="A16" s="72"/>
      <c r="B16" s="72"/>
      <c r="C16" s="72"/>
      <c r="D16" s="72"/>
      <c r="E16" s="72"/>
      <c r="F16" s="72"/>
      <c r="G16" s="72"/>
      <c r="H16" s="72"/>
      <c r="I16" s="72"/>
      <c r="J16" s="72"/>
    </row>
    <row r="17" spans="1:10">
      <c r="A17" s="72"/>
      <c r="B17" s="72"/>
      <c r="C17" s="72"/>
      <c r="D17" s="72"/>
      <c r="E17" s="72"/>
      <c r="F17" s="72"/>
      <c r="G17" s="72"/>
      <c r="H17" s="72"/>
      <c r="I17" s="72"/>
      <c r="J17" s="72"/>
    </row>
    <row r="18" spans="1:10">
      <c r="A18" s="72"/>
      <c r="B18" s="72"/>
      <c r="C18" s="72"/>
      <c r="D18" s="72"/>
      <c r="E18" s="72"/>
      <c r="F18" s="72"/>
      <c r="G18" s="72"/>
      <c r="H18" s="72"/>
      <c r="I18" s="72"/>
      <c r="J18" s="72"/>
    </row>
    <row r="20" spans="1:10" ht="23.1" customHeight="1">
      <c r="A20" s="50" t="s">
        <v>18</v>
      </c>
      <c r="B20" s="72"/>
      <c r="C20" s="72"/>
      <c r="D20" s="72"/>
      <c r="E20" s="72"/>
      <c r="F20" s="72"/>
      <c r="G20" s="72"/>
      <c r="H20" s="72"/>
      <c r="I20" s="72"/>
      <c r="J20" s="72"/>
    </row>
    <row r="21" spans="1:10">
      <c r="A21" s="12" t="s">
        <v>19</v>
      </c>
      <c r="B21" s="12" t="s">
        <v>20</v>
      </c>
      <c r="C21" s="12" t="s">
        <v>21</v>
      </c>
    </row>
    <row r="22" spans="1:10">
      <c r="A22" s="13" t="s">
        <v>22</v>
      </c>
      <c r="B22" s="56" t="s">
        <v>23</v>
      </c>
      <c r="C22" s="73"/>
      <c r="D22" s="73"/>
      <c r="E22" s="73"/>
      <c r="F22" s="73"/>
      <c r="G22" s="73"/>
      <c r="H22" s="72"/>
      <c r="I22" s="72"/>
      <c r="J22" s="72"/>
    </row>
    <row r="23" spans="1:10">
      <c r="A23" s="15" t="s">
        <v>24</v>
      </c>
      <c r="B23" s="52" t="s">
        <v>25</v>
      </c>
      <c r="C23" s="73"/>
      <c r="D23" s="73"/>
      <c r="E23" s="73"/>
      <c r="F23" s="73"/>
      <c r="G23" s="73"/>
      <c r="H23" s="72"/>
      <c r="I23" s="72"/>
      <c r="J23" s="72"/>
    </row>
    <row r="24" spans="1:10">
      <c r="A24" s="13" t="s">
        <v>26</v>
      </c>
      <c r="B24" s="56" t="s">
        <v>27</v>
      </c>
      <c r="C24" s="73"/>
      <c r="D24" s="73"/>
      <c r="E24" s="73"/>
      <c r="F24" s="73"/>
      <c r="G24" s="73"/>
      <c r="H24" s="72"/>
      <c r="I24" s="72"/>
      <c r="J24" s="72"/>
    </row>
    <row r="25" spans="1:10">
      <c r="A25" s="15" t="s">
        <v>28</v>
      </c>
      <c r="B25" s="52" t="s">
        <v>29</v>
      </c>
      <c r="C25" s="73"/>
      <c r="D25" s="73"/>
      <c r="E25" s="73"/>
      <c r="F25" s="73"/>
      <c r="G25" s="73"/>
      <c r="H25" s="72"/>
      <c r="I25" s="72"/>
      <c r="J25" s="72"/>
    </row>
    <row r="27" spans="1:10" ht="23.1" customHeight="1">
      <c r="A27" s="50" t="s">
        <v>30</v>
      </c>
      <c r="B27" s="72"/>
      <c r="C27" s="72"/>
      <c r="D27" s="72"/>
      <c r="E27" s="72"/>
      <c r="F27" s="72"/>
      <c r="G27" s="72"/>
      <c r="H27" s="72"/>
      <c r="I27" s="72"/>
      <c r="J27" s="72"/>
    </row>
    <row r="28" spans="1:10">
      <c r="A28" s="58" t="s">
        <v>31</v>
      </c>
      <c r="B28" s="72"/>
      <c r="C28" s="72"/>
      <c r="D28" s="72"/>
      <c r="E28" s="72"/>
      <c r="F28" s="72"/>
      <c r="G28" s="72"/>
      <c r="H28" s="72"/>
      <c r="I28" s="72"/>
      <c r="J28" s="72"/>
    </row>
    <row r="29" spans="1:10">
      <c r="A29" s="72"/>
      <c r="B29" s="72"/>
      <c r="C29" s="72"/>
      <c r="D29" s="72"/>
      <c r="E29" s="72"/>
      <c r="F29" s="72"/>
      <c r="G29" s="72"/>
      <c r="H29" s="72"/>
      <c r="I29" s="72"/>
      <c r="J29" s="72"/>
    </row>
  </sheetData>
  <mergeCells count="25">
    <mergeCell ref="A28:J29"/>
    <mergeCell ref="H25:J25"/>
    <mergeCell ref="B24:G24"/>
    <mergeCell ref="A10:J12"/>
    <mergeCell ref="D5:F7"/>
    <mergeCell ref="B25:G25"/>
    <mergeCell ref="B22:G22"/>
    <mergeCell ref="A27:J27"/>
    <mergeCell ref="F15:J18"/>
    <mergeCell ref="A4:C4"/>
    <mergeCell ref="A5:C7"/>
    <mergeCell ref="A1:J1"/>
    <mergeCell ref="H24:J24"/>
    <mergeCell ref="A15:E18"/>
    <mergeCell ref="H23:J23"/>
    <mergeCell ref="A14:E14"/>
    <mergeCell ref="A2:J2"/>
    <mergeCell ref="F14:J14"/>
    <mergeCell ref="G4:J4"/>
    <mergeCell ref="B23:G23"/>
    <mergeCell ref="G5:J7"/>
    <mergeCell ref="A20:J20"/>
    <mergeCell ref="H22:J22"/>
    <mergeCell ref="A9:J9"/>
    <mergeCell ref="D4:F4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FB37-2B95-41BF-A828-85D9F2F6560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36DB-E4B0-4F6D-A9C5-67A4D883169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5"/>
  <sheetViews>
    <sheetView showGridLines="0" topLeftCell="A4" workbookViewId="0"/>
  </sheetViews>
  <sheetFormatPr defaultRowHeight="15"/>
  <cols>
    <col min="1" max="1" width="31" customWidth="1"/>
    <col min="2" max="3" width="24" customWidth="1"/>
    <col min="4" max="4" width="48" customWidth="1"/>
  </cols>
  <sheetData>
    <row r="1" spans="1:4" ht="32.1" customHeight="1">
      <c r="A1" s="63" t="s">
        <v>32</v>
      </c>
      <c r="B1" s="72"/>
      <c r="C1" s="72"/>
      <c r="D1" s="72"/>
    </row>
    <row r="2" spans="1:4" ht="30" customHeight="1">
      <c r="A2" s="65" t="s">
        <v>33</v>
      </c>
      <c r="B2" s="72"/>
      <c r="C2" s="72"/>
      <c r="D2" s="72"/>
    </row>
    <row r="4" spans="1:4" ht="23.1" customHeight="1">
      <c r="A4" s="50" t="s">
        <v>34</v>
      </c>
      <c r="B4" s="72"/>
      <c r="C4" s="72"/>
      <c r="D4" s="72"/>
    </row>
    <row r="5" spans="1:4" ht="24" customHeight="1">
      <c r="A5" s="16" t="s">
        <v>35</v>
      </c>
      <c r="B5" s="62" t="s">
        <v>36</v>
      </c>
      <c r="C5" s="73"/>
      <c r="D5" s="73"/>
    </row>
    <row r="6" spans="1:4" ht="36" customHeight="1">
      <c r="A6" s="16" t="s">
        <v>37</v>
      </c>
      <c r="B6" s="62" t="s">
        <v>38</v>
      </c>
      <c r="C6" s="73"/>
      <c r="D6" s="73"/>
    </row>
    <row r="7" spans="1:4" ht="36" customHeight="1">
      <c r="A7" s="16" t="s">
        <v>39</v>
      </c>
      <c r="B7" s="62" t="s">
        <v>40</v>
      </c>
      <c r="C7" s="73"/>
      <c r="D7" s="73"/>
    </row>
    <row r="8" spans="1:4" ht="24" customHeight="1">
      <c r="A8" s="16" t="s">
        <v>41</v>
      </c>
      <c r="B8" s="60">
        <v>46325</v>
      </c>
      <c r="C8" s="73"/>
      <c r="D8" s="73"/>
    </row>
    <row r="9" spans="1:4" ht="24" customHeight="1">
      <c r="A9" s="16" t="s">
        <v>42</v>
      </c>
      <c r="B9" s="62" t="s">
        <v>43</v>
      </c>
      <c r="C9" s="73"/>
      <c r="D9" s="73"/>
    </row>
    <row r="10" spans="1:4" ht="24" customHeight="1">
      <c r="A10" s="16" t="s">
        <v>44</v>
      </c>
      <c r="B10" s="62" t="s">
        <v>45</v>
      </c>
      <c r="C10" s="73"/>
      <c r="D10" s="73"/>
    </row>
    <row r="11" spans="1:4" ht="24" customHeight="1">
      <c r="A11" s="16" t="s">
        <v>46</v>
      </c>
      <c r="B11" s="62" t="s">
        <v>47</v>
      </c>
      <c r="C11" s="73"/>
      <c r="D11" s="73"/>
    </row>
    <row r="12" spans="1:4" ht="24" customHeight="1">
      <c r="A12" s="16" t="s">
        <v>48</v>
      </c>
      <c r="B12" s="60">
        <v>46310</v>
      </c>
      <c r="C12" s="73"/>
      <c r="D12" s="73"/>
    </row>
    <row r="13" spans="1:4" ht="24" customHeight="1">
      <c r="A13" s="16" t="s">
        <v>49</v>
      </c>
      <c r="B13" s="62" t="s">
        <v>50</v>
      </c>
      <c r="C13" s="73"/>
      <c r="D13" s="73"/>
    </row>
    <row r="14" spans="1:4" ht="36" customHeight="1">
      <c r="A14" s="16" t="s">
        <v>51</v>
      </c>
      <c r="B14" s="62" t="s">
        <v>52</v>
      </c>
      <c r="C14" s="73"/>
      <c r="D14" s="73"/>
    </row>
    <row r="15" spans="1:4" ht="24" customHeight="1">
      <c r="A15" s="16" t="s">
        <v>53</v>
      </c>
      <c r="B15" s="62" t="s">
        <v>54</v>
      </c>
      <c r="C15" s="73"/>
      <c r="D15" s="73"/>
    </row>
    <row r="16" spans="1:4" ht="36" customHeight="1">
      <c r="A16" s="16" t="s">
        <v>55</v>
      </c>
      <c r="B16" s="64" t="s">
        <v>13</v>
      </c>
      <c r="C16" s="73"/>
      <c r="D16" s="73"/>
    </row>
    <row r="17" spans="1:4" ht="24" customHeight="1">
      <c r="A17" s="16" t="s">
        <v>56</v>
      </c>
      <c r="B17" s="61" t="s">
        <v>57</v>
      </c>
      <c r="C17" s="73"/>
      <c r="D17" s="73"/>
    </row>
    <row r="18" spans="1:4" ht="24" customHeight="1">
      <c r="A18" s="16" t="s">
        <v>58</v>
      </c>
      <c r="B18" s="19" t="s">
        <v>59</v>
      </c>
      <c r="C18" s="14"/>
      <c r="D18" s="14"/>
    </row>
    <row r="19" spans="1:4" ht="36" customHeight="1">
      <c r="A19" s="16" t="s">
        <v>60</v>
      </c>
      <c r="B19" s="61" t="s">
        <v>61</v>
      </c>
      <c r="C19" s="73"/>
      <c r="D19" s="73"/>
    </row>
    <row r="21" spans="1:4" ht="23.1" customHeight="1">
      <c r="A21" s="50" t="s">
        <v>62</v>
      </c>
      <c r="B21" s="72"/>
      <c r="C21" s="72"/>
      <c r="D21" s="72"/>
    </row>
    <row r="22" spans="1:4" ht="33.950000000000003" customHeight="1">
      <c r="A22" s="59" t="s">
        <v>63</v>
      </c>
      <c r="B22" s="72"/>
      <c r="C22" s="72"/>
      <c r="D22" s="72"/>
    </row>
    <row r="25" spans="1:4" ht="16.5" customHeight="1"/>
  </sheetData>
  <mergeCells count="19">
    <mergeCell ref="A1:D1"/>
    <mergeCell ref="B5:D5"/>
    <mergeCell ref="B7:D7"/>
    <mergeCell ref="B16:D16"/>
    <mergeCell ref="A21:D21"/>
    <mergeCell ref="A2:D2"/>
    <mergeCell ref="B12:D12"/>
    <mergeCell ref="B11:D11"/>
    <mergeCell ref="B14:D14"/>
    <mergeCell ref="A22:D22"/>
    <mergeCell ref="A4:D4"/>
    <mergeCell ref="B8:D8"/>
    <mergeCell ref="B17:D17"/>
    <mergeCell ref="B13:D13"/>
    <mergeCell ref="B10:D10"/>
    <mergeCell ref="B19:D19"/>
    <mergeCell ref="B9:D9"/>
    <mergeCell ref="B15:D15"/>
    <mergeCell ref="B6:D6"/>
  </mergeCells>
  <dataValidations count="2">
    <dataValidation type="list" sqref="B13" xr:uid="{00000000-0002-0000-0100-000000000000}">
      <formula1>"Entwurf,In fachlicher Vorbereitung,Zur Entscheidung vorgelegt,Entschieden,Zurückgestellt"</formula1>
    </dataValidation>
    <dataValidation type="list" sqref="B17:B18" xr:uid="{00000000-0002-0000-0100-000001000000}">
      <formula1>"Entscheidungsreif,Mit Auflagen entscheidungsreif,Nicht entscheidungsreif,Noch nicht bestätigt"</formula1>
    </dataValidation>
  </dataValidations>
  <pageMargins left="0.3" right="0.3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B37"/>
  <sheetViews>
    <sheetView showGridLines="0" topLeftCell="A8" workbookViewId="0"/>
  </sheetViews>
  <sheetFormatPr defaultRowHeight="15"/>
  <cols>
    <col min="1" max="1" width="80.85546875" customWidth="1"/>
    <col min="2" max="2" width="64.140625" customWidth="1"/>
    <col min="3" max="3" width="61.85546875" customWidth="1"/>
    <col min="4" max="4" width="61.5703125" customWidth="1"/>
    <col min="5" max="5" width="21" customWidth="1"/>
    <col min="6" max="6" width="24.140625" customWidth="1"/>
    <col min="7" max="7" width="18.5703125" customWidth="1"/>
    <col min="8" max="8" width="18.7109375" customWidth="1"/>
    <col min="9" max="9" width="22.85546875" customWidth="1"/>
    <col min="10" max="10" width="16.140625" bestFit="1" customWidth="1"/>
  </cols>
  <sheetData>
    <row r="1" spans="1:106" ht="32.1" customHeight="1">
      <c r="A1" s="63" t="s">
        <v>64</v>
      </c>
      <c r="B1" s="72"/>
      <c r="C1" s="72"/>
      <c r="D1" s="72"/>
    </row>
    <row r="2" spans="1:106" ht="30" customHeight="1">
      <c r="A2" s="65" t="s">
        <v>65</v>
      </c>
      <c r="B2" s="72"/>
      <c r="C2" s="72"/>
      <c r="D2" s="72"/>
    </row>
    <row r="3" spans="1:106" ht="16.5" customHeight="1"/>
    <row r="4" spans="1:106" ht="23.1" customHeight="1">
      <c r="A4" s="50" t="s">
        <v>66</v>
      </c>
      <c r="B4" s="72"/>
      <c r="C4" s="72"/>
      <c r="D4" s="72"/>
    </row>
    <row r="5" spans="1:106" ht="16.5" customHeight="1">
      <c r="A5" s="20"/>
      <c r="B5" s="20" t="s">
        <v>67</v>
      </c>
      <c r="C5" s="20" t="s">
        <v>68</v>
      </c>
      <c r="D5" s="20" t="s">
        <v>69</v>
      </c>
    </row>
    <row r="6" spans="1:106" ht="27" customHeight="1">
      <c r="A6" s="16" t="s">
        <v>70</v>
      </c>
      <c r="B6" s="17" t="s">
        <v>71</v>
      </c>
      <c r="C6" s="17" t="s">
        <v>72</v>
      </c>
      <c r="D6" s="17" t="s">
        <v>73</v>
      </c>
    </row>
    <row r="7" spans="1:106" ht="27" customHeight="1">
      <c r="A7" s="16" t="s">
        <v>74</v>
      </c>
      <c r="B7" s="17" t="s">
        <v>75</v>
      </c>
      <c r="C7" s="17" t="s">
        <v>76</v>
      </c>
      <c r="D7" s="17" t="s">
        <v>77</v>
      </c>
    </row>
    <row r="8" spans="1:106" ht="38.1" customHeight="1">
      <c r="A8" s="16" t="s">
        <v>78</v>
      </c>
      <c r="B8" s="17" t="s">
        <v>79</v>
      </c>
      <c r="C8" s="17" t="s">
        <v>80</v>
      </c>
      <c r="D8" s="17" t="s">
        <v>81</v>
      </c>
    </row>
    <row r="9" spans="1:106" ht="27" customHeight="1">
      <c r="A9" s="16" t="s">
        <v>82</v>
      </c>
      <c r="B9" s="17" t="s">
        <v>83</v>
      </c>
      <c r="C9" s="21" t="s">
        <v>83</v>
      </c>
      <c r="D9" s="17" t="s">
        <v>84</v>
      </c>
    </row>
    <row r="10" spans="1:106" ht="27" customHeight="1">
      <c r="A10" s="16" t="s">
        <v>85</v>
      </c>
      <c r="B10" s="22">
        <v>180000</v>
      </c>
      <c r="C10" s="23">
        <v>140000</v>
      </c>
      <c r="D10" s="22">
        <v>95000</v>
      </c>
    </row>
    <row r="11" spans="1:106" ht="27" customHeight="1">
      <c r="A11" s="16" t="s">
        <v>86</v>
      </c>
      <c r="B11" s="24">
        <v>4</v>
      </c>
      <c r="C11" s="25">
        <v>3</v>
      </c>
      <c r="D11" s="24">
        <v>2.5</v>
      </c>
    </row>
    <row r="12" spans="1:106" ht="27" customHeight="1">
      <c r="A12" s="16" t="s">
        <v>87</v>
      </c>
      <c r="B12" s="24">
        <v>1.5</v>
      </c>
      <c r="C12" s="25">
        <v>1.5</v>
      </c>
      <c r="D12" s="24">
        <v>1</v>
      </c>
    </row>
    <row r="13" spans="1:106" ht="27" customHeight="1">
      <c r="A13" s="16" t="s">
        <v>88</v>
      </c>
      <c r="B13" s="18">
        <v>46568</v>
      </c>
      <c r="C13" s="26">
        <v>46477</v>
      </c>
      <c r="D13" s="18">
        <v>46538</v>
      </c>
    </row>
    <row r="14" spans="1:106" ht="27" customHeight="1">
      <c r="A14" s="16" t="s">
        <v>89</v>
      </c>
      <c r="B14" s="17" t="s">
        <v>90</v>
      </c>
      <c r="C14" s="21" t="s">
        <v>91</v>
      </c>
      <c r="D14" s="17" t="s">
        <v>92</v>
      </c>
    </row>
    <row r="15" spans="1:106" ht="27" customHeight="1">
      <c r="A15" s="16" t="s">
        <v>93</v>
      </c>
      <c r="B15" s="22">
        <v>110000</v>
      </c>
      <c r="C15" s="21" t="s">
        <v>94</v>
      </c>
      <c r="D15" s="22">
        <v>70000</v>
      </c>
    </row>
    <row r="16" spans="1:106" ht="27" customHeight="1">
      <c r="A16" s="16" t="s">
        <v>95</v>
      </c>
      <c r="B16" s="17" t="s">
        <v>96</v>
      </c>
      <c r="C16" s="21" t="s">
        <v>97</v>
      </c>
      <c r="D16" s="17" t="s">
        <v>98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</row>
    <row r="17" spans="1:106" s="6" customFormat="1" ht="27" customHeight="1">
      <c r="A17" s="27" t="s">
        <v>99</v>
      </c>
      <c r="B17" s="28" t="s">
        <v>100</v>
      </c>
      <c r="C17" s="21" t="s">
        <v>101</v>
      </c>
      <c r="D17" s="28" t="s">
        <v>98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</row>
    <row r="18" spans="1:106" ht="27" customHeight="1">
      <c r="A18" s="16" t="s">
        <v>102</v>
      </c>
      <c r="B18" s="17" t="s">
        <v>98</v>
      </c>
      <c r="C18" s="21" t="s">
        <v>96</v>
      </c>
      <c r="D18" s="17" t="s">
        <v>98</v>
      </c>
    </row>
    <row r="19" spans="1:106" ht="27" customHeight="1">
      <c r="A19" s="16" t="s">
        <v>103</v>
      </c>
      <c r="B19" s="17" t="s">
        <v>98</v>
      </c>
      <c r="C19" s="21" t="s">
        <v>100</v>
      </c>
      <c r="D19" s="17" t="s">
        <v>96</v>
      </c>
    </row>
    <row r="20" spans="1:106" ht="38.1" customHeight="1">
      <c r="A20" s="16" t="s">
        <v>104</v>
      </c>
      <c r="B20" s="17" t="s">
        <v>105</v>
      </c>
      <c r="C20" s="21" t="s">
        <v>106</v>
      </c>
      <c r="D20" s="17" t="s">
        <v>107</v>
      </c>
    </row>
    <row r="21" spans="1:106" ht="27" customHeight="1">
      <c r="A21" s="16" t="s">
        <v>48</v>
      </c>
      <c r="B21" s="18">
        <v>46310</v>
      </c>
      <c r="C21" s="26">
        <v>46310</v>
      </c>
      <c r="D21" s="18">
        <v>46305</v>
      </c>
    </row>
    <row r="22" spans="1:106" ht="27" customHeight="1">
      <c r="A22" s="16" t="s">
        <v>108</v>
      </c>
      <c r="B22" s="17" t="s">
        <v>109</v>
      </c>
      <c r="C22" s="21" t="s">
        <v>110</v>
      </c>
      <c r="D22" s="17" t="s">
        <v>111</v>
      </c>
    </row>
    <row r="23" spans="1:106" ht="38.1" customHeight="1">
      <c r="A23" s="16" t="s">
        <v>112</v>
      </c>
      <c r="B23" s="17" t="s">
        <v>113</v>
      </c>
      <c r="C23" s="21" t="s">
        <v>114</v>
      </c>
      <c r="D23" s="17" t="s">
        <v>115</v>
      </c>
    </row>
    <row r="24" spans="1:106" ht="27" customHeight="1">
      <c r="A24" s="16" t="s">
        <v>116</v>
      </c>
      <c r="B24" s="17" t="s">
        <v>117</v>
      </c>
      <c r="C24" s="21" t="s">
        <v>118</v>
      </c>
      <c r="D24" s="17" t="s">
        <v>119</v>
      </c>
    </row>
    <row r="25" spans="1:106" ht="38.1" customHeight="1">
      <c r="A25" s="16" t="s">
        <v>120</v>
      </c>
      <c r="B25" s="17" t="s">
        <v>121</v>
      </c>
      <c r="C25" s="21" t="s">
        <v>122</v>
      </c>
      <c r="D25" s="17" t="s">
        <v>123</v>
      </c>
    </row>
    <row r="26" spans="1:106" ht="38.1" customHeight="1">
      <c r="A26" s="16" t="s">
        <v>124</v>
      </c>
      <c r="B26" s="17" t="s">
        <v>125</v>
      </c>
      <c r="C26" s="21" t="s">
        <v>126</v>
      </c>
      <c r="D26" s="19" t="s">
        <v>127</v>
      </c>
    </row>
    <row r="27" spans="1:106">
      <c r="A27" s="3" t="s">
        <v>128</v>
      </c>
      <c r="B27" t="s">
        <v>129</v>
      </c>
      <c r="C27" s="6" t="s">
        <v>130</v>
      </c>
      <c r="D27" t="s">
        <v>131</v>
      </c>
    </row>
    <row r="28" spans="1:106">
      <c r="A28" s="3" t="s">
        <v>132</v>
      </c>
      <c r="B28" t="s">
        <v>133</v>
      </c>
      <c r="C28" s="6" t="s">
        <v>134</v>
      </c>
      <c r="D28" t="s">
        <v>135</v>
      </c>
    </row>
    <row r="29" spans="1:106">
      <c r="A29" s="3" t="s">
        <v>136</v>
      </c>
      <c r="B29" t="s">
        <v>137</v>
      </c>
      <c r="C29" s="6" t="s">
        <v>138</v>
      </c>
      <c r="D29" t="s">
        <v>139</v>
      </c>
    </row>
    <row r="30" spans="1:106" ht="16.5" customHeight="1">
      <c r="A30" s="5" t="s">
        <v>140</v>
      </c>
      <c r="B30" t="s">
        <v>141</v>
      </c>
      <c r="C30" s="6" t="s">
        <v>142</v>
      </c>
      <c r="D30" t="s">
        <v>143</v>
      </c>
    </row>
    <row r="31" spans="1:106" ht="23.1" customHeight="1">
      <c r="A31" s="50" t="s">
        <v>144</v>
      </c>
      <c r="B31" s="72"/>
      <c r="C31" s="72"/>
      <c r="D31" s="72"/>
    </row>
    <row r="32" spans="1:106">
      <c r="A32" s="20" t="s">
        <v>145</v>
      </c>
      <c r="B32" s="20" t="s">
        <v>146</v>
      </c>
      <c r="C32" s="20" t="s">
        <v>147</v>
      </c>
      <c r="D32" s="20" t="s">
        <v>148</v>
      </c>
    </row>
    <row r="33" spans="1:4">
      <c r="A33" s="16" t="s">
        <v>149</v>
      </c>
      <c r="B33" s="29">
        <f>SUM(B11:D11)</f>
        <v>9.5</v>
      </c>
      <c r="C33" s="17" t="s">
        <v>150</v>
      </c>
      <c r="D33" s="17" t="s">
        <v>151</v>
      </c>
    </row>
    <row r="34" spans="1:4">
      <c r="A34" s="16" t="s">
        <v>152</v>
      </c>
      <c r="B34" s="30">
        <v>6</v>
      </c>
      <c r="C34" s="17" t="s">
        <v>150</v>
      </c>
      <c r="D34" s="17" t="s">
        <v>153</v>
      </c>
    </row>
    <row r="35" spans="1:4">
      <c r="A35" s="16" t="s">
        <v>6</v>
      </c>
      <c r="B35" s="31">
        <f>B33-B34</f>
        <v>3.5</v>
      </c>
      <c r="C35" s="17" t="s">
        <v>150</v>
      </c>
      <c r="D35" s="17" t="s">
        <v>154</v>
      </c>
    </row>
    <row r="37" spans="1:4" ht="33.950000000000003" customHeight="1">
      <c r="A37" s="59" t="s">
        <v>155</v>
      </c>
      <c r="B37" s="72"/>
      <c r="C37" s="72"/>
      <c r="D37" s="72"/>
    </row>
  </sheetData>
  <autoFilter ref="A5:D26" xr:uid="{00000000-0009-0000-0000-000002000000}"/>
  <mergeCells count="5">
    <mergeCell ref="A1:D1"/>
    <mergeCell ref="A37:D37"/>
    <mergeCell ref="A31:D31"/>
    <mergeCell ref="A4:D4"/>
    <mergeCell ref="A2:D2"/>
  </mergeCells>
  <conditionalFormatting sqref="B22:D22">
    <cfRule type="expression" dxfId="0" priority="1">
      <formula>B22="teilweise belastbar"</formula>
    </cfRule>
  </conditionalFormatting>
  <pageMargins left="0.25" right="0.25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33"/>
  <sheetViews>
    <sheetView showGridLines="0" workbookViewId="0"/>
  </sheetViews>
  <sheetFormatPr defaultRowHeight="15"/>
  <cols>
    <col min="1" max="1" width="32.5703125" customWidth="1"/>
    <col min="2" max="2" width="62.42578125" customWidth="1"/>
    <col min="3" max="3" width="96.7109375" customWidth="1"/>
    <col min="4" max="4" width="87.5703125" customWidth="1"/>
    <col min="5" max="5" width="85.140625" customWidth="1"/>
    <col min="6" max="6" width="34" customWidth="1"/>
    <col min="7" max="7" width="24" customWidth="1"/>
    <col min="8" max="8" width="38" customWidth="1"/>
    <col min="9" max="9" width="40" customWidth="1"/>
  </cols>
  <sheetData>
    <row r="1" spans="1:9" ht="24" customHeight="1">
      <c r="A1" s="3" t="s">
        <v>156</v>
      </c>
      <c r="B1" s="3" t="s">
        <v>157</v>
      </c>
      <c r="C1" s="3" t="s">
        <v>158</v>
      </c>
      <c r="D1" s="3" t="s">
        <v>58</v>
      </c>
      <c r="E1" s="3"/>
      <c r="F1" s="69" t="s">
        <v>159</v>
      </c>
      <c r="G1" s="72"/>
      <c r="H1" s="72"/>
      <c r="I1" s="72"/>
    </row>
    <row r="2" spans="1:9" ht="36" customHeight="1">
      <c r="A2" t="s">
        <v>95</v>
      </c>
      <c r="B2" s="2">
        <v>0.25</v>
      </c>
      <c r="C2" t="s">
        <v>160</v>
      </c>
      <c r="D2" t="s">
        <v>161</v>
      </c>
      <c r="F2" s="68" t="s">
        <v>162</v>
      </c>
      <c r="G2" s="72"/>
      <c r="H2" s="72"/>
      <c r="I2" s="72"/>
    </row>
    <row r="3" spans="1:9" ht="33.950000000000003" customHeight="1">
      <c r="A3" t="s">
        <v>163</v>
      </c>
      <c r="B3" s="2">
        <v>0.2</v>
      </c>
      <c r="C3" t="s">
        <v>164</v>
      </c>
      <c r="D3" t="s">
        <v>165</v>
      </c>
      <c r="E3" s="1"/>
      <c r="F3" s="32" t="s">
        <v>166</v>
      </c>
      <c r="G3" s="32" t="s">
        <v>167</v>
      </c>
      <c r="H3" s="32" t="s">
        <v>168</v>
      </c>
      <c r="I3" s="32" t="s">
        <v>169</v>
      </c>
    </row>
    <row r="4" spans="1:9" ht="57.95" customHeight="1">
      <c r="A4" t="s">
        <v>170</v>
      </c>
      <c r="B4" s="2">
        <v>0.15</v>
      </c>
      <c r="C4" t="s">
        <v>171</v>
      </c>
      <c r="D4" t="s">
        <v>172</v>
      </c>
      <c r="F4" s="33" t="s">
        <v>173</v>
      </c>
      <c r="G4" s="34" t="s">
        <v>174</v>
      </c>
      <c r="H4" s="33" t="s">
        <v>175</v>
      </c>
      <c r="I4" s="33" t="s">
        <v>176</v>
      </c>
    </row>
    <row r="5" spans="1:9" ht="57.95" customHeight="1">
      <c r="A5" t="s">
        <v>177</v>
      </c>
      <c r="B5" s="2">
        <v>0.15</v>
      </c>
      <c r="C5" s="1" t="s">
        <v>178</v>
      </c>
      <c r="D5" s="1" t="s">
        <v>179</v>
      </c>
      <c r="F5" s="33" t="s">
        <v>180</v>
      </c>
      <c r="G5" s="35" t="s">
        <v>181</v>
      </c>
      <c r="H5" s="33" t="s">
        <v>182</v>
      </c>
      <c r="I5" s="33" t="s">
        <v>183</v>
      </c>
    </row>
    <row r="6" spans="1:9" ht="57.95" customHeight="1">
      <c r="A6" s="1" t="s">
        <v>184</v>
      </c>
      <c r="B6" s="2">
        <v>0.15</v>
      </c>
      <c r="C6" s="1" t="s">
        <v>185</v>
      </c>
      <c r="D6" s="1" t="s">
        <v>186</v>
      </c>
      <c r="F6" s="33" t="s">
        <v>187</v>
      </c>
      <c r="G6" s="34" t="s">
        <v>188</v>
      </c>
      <c r="H6" s="33" t="s">
        <v>189</v>
      </c>
      <c r="I6" s="33" t="s">
        <v>190</v>
      </c>
    </row>
    <row r="7" spans="1:9" ht="57.95" customHeight="1">
      <c r="A7" t="s">
        <v>99</v>
      </c>
      <c r="B7" s="2">
        <v>0.05</v>
      </c>
      <c r="C7" s="1" t="s">
        <v>191</v>
      </c>
      <c r="D7" s="1" t="s">
        <v>192</v>
      </c>
      <c r="F7" s="33" t="s">
        <v>193</v>
      </c>
      <c r="G7" s="34" t="s">
        <v>194</v>
      </c>
      <c r="H7" s="33" t="s">
        <v>195</v>
      </c>
      <c r="I7" s="33" t="s">
        <v>196</v>
      </c>
    </row>
    <row r="8" spans="1:9" ht="16.5" customHeight="1">
      <c r="A8" t="s">
        <v>197</v>
      </c>
      <c r="B8" s="2">
        <v>0.05</v>
      </c>
      <c r="C8" s="1" t="s">
        <v>198</v>
      </c>
      <c r="D8" s="1" t="s">
        <v>199</v>
      </c>
    </row>
    <row r="9" spans="1:9" ht="39.950000000000003" customHeight="1">
      <c r="F9" s="36" t="s">
        <v>200</v>
      </c>
      <c r="G9" s="37" t="s">
        <v>201</v>
      </c>
      <c r="H9" s="67" t="s">
        <v>202</v>
      </c>
      <c r="I9" s="73"/>
    </row>
    <row r="10" spans="1:9">
      <c r="A10" s="4" t="s">
        <v>203</v>
      </c>
      <c r="B10" s="2">
        <f>SUM(B2:B8)</f>
        <v>1</v>
      </c>
    </row>
    <row r="12" spans="1:9" ht="33" customHeight="1">
      <c r="A12" s="66" t="s">
        <v>204</v>
      </c>
      <c r="B12" s="72"/>
      <c r="C12" s="72"/>
      <c r="D12" s="72"/>
    </row>
    <row r="15" spans="1:9" ht="16.5" customHeight="1"/>
    <row r="16" spans="1:9" ht="16.5" customHeight="1"/>
    <row r="26" ht="16.5" customHeight="1"/>
    <row r="27" ht="16.5" customHeight="1"/>
    <row r="28" ht="16.5" customHeight="1"/>
    <row r="33" ht="16.5" customHeight="1"/>
  </sheetData>
  <mergeCells count="4">
    <mergeCell ref="A12:D12"/>
    <mergeCell ref="H9:I9"/>
    <mergeCell ref="F2:I2"/>
    <mergeCell ref="F1:I1"/>
  </mergeCells>
  <dataValidations count="1">
    <dataValidation type="list" sqref="G4 G6 G7" xr:uid="{00000000-0002-0000-0300-000000000000}">
      <formula1>"Offen,Ja,Nein,Noch nicht,Nein - falls Pflicht bestätigt"</formula1>
    </dataValidation>
  </dataValidations>
  <pageMargins left="0.7" right="0.7" top="0.75" bottom="0.7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showGridLines="0" workbookViewId="0"/>
  </sheetViews>
  <sheetFormatPr defaultRowHeight="15"/>
  <cols>
    <col min="1" max="1" width="28" customWidth="1"/>
    <col min="2" max="2" width="11" customWidth="1"/>
    <col min="3" max="5" width="10" customWidth="1"/>
    <col min="6" max="6" width="10" bestFit="1" customWidth="1"/>
    <col min="7" max="10" width="13" customWidth="1"/>
    <col min="11" max="11" width="47" customWidth="1"/>
  </cols>
  <sheetData>
    <row r="1" spans="1:11" ht="32.1" customHeight="1">
      <c r="A1" s="48" t="s">
        <v>205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76.5" customHeight="1">
      <c r="A2" s="70" t="s">
        <v>206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spans="1:11" ht="16.5" customHeight="1"/>
    <row r="4" spans="1:11" ht="16.5" customHeight="1">
      <c r="A4" s="12" t="s">
        <v>156</v>
      </c>
      <c r="B4" s="12" t="s">
        <v>207</v>
      </c>
      <c r="C4" s="12" t="s">
        <v>208</v>
      </c>
      <c r="D4" s="12" t="s">
        <v>209</v>
      </c>
      <c r="E4" s="12" t="s">
        <v>210</v>
      </c>
      <c r="F4" s="12" t="s">
        <v>211</v>
      </c>
      <c r="G4" s="12" t="s">
        <v>212</v>
      </c>
      <c r="H4" s="12" t="s">
        <v>213</v>
      </c>
      <c r="I4" s="12" t="s">
        <v>214</v>
      </c>
      <c r="J4" s="12" t="s">
        <v>215</v>
      </c>
      <c r="K4" s="12" t="s">
        <v>216</v>
      </c>
    </row>
    <row r="5" spans="1:11" ht="16.5" customHeight="1">
      <c r="A5" s="13" t="s">
        <v>95</v>
      </c>
      <c r="B5" s="38">
        <v>0.25</v>
      </c>
      <c r="C5" s="13">
        <v>5</v>
      </c>
      <c r="D5" s="13">
        <v>3</v>
      </c>
      <c r="E5" s="13">
        <v>4</v>
      </c>
      <c r="F5" s="13">
        <v>5</v>
      </c>
      <c r="G5" s="39">
        <f>$B5*C5</f>
        <v>1.25</v>
      </c>
      <c r="H5" s="39">
        <f>$B5*D5</f>
        <v>0.75</v>
      </c>
      <c r="I5" s="39">
        <f>$B5*E5</f>
        <v>1</v>
      </c>
      <c r="J5" s="39">
        <f>$B5*F5</f>
        <v>1.25</v>
      </c>
      <c r="K5" s="13" t="s">
        <v>217</v>
      </c>
    </row>
    <row r="6" spans="1:11">
      <c r="A6" s="15" t="s">
        <v>163</v>
      </c>
      <c r="B6" s="40">
        <v>0.2</v>
      </c>
      <c r="C6" s="15">
        <v>5</v>
      </c>
      <c r="D6" s="15">
        <v>3</v>
      </c>
      <c r="E6" s="15">
        <v>4</v>
      </c>
      <c r="F6" s="15">
        <v>4</v>
      </c>
      <c r="G6" s="41">
        <f>$B6*C6</f>
        <v>1</v>
      </c>
      <c r="H6" s="41">
        <f>$B6*D6</f>
        <v>0.60000000000000009</v>
      </c>
      <c r="I6" s="41">
        <f>$B6*E6</f>
        <v>0.8</v>
      </c>
      <c r="J6" s="41">
        <f>$B6*F6</f>
        <v>0.8</v>
      </c>
      <c r="K6" s="15" t="s">
        <v>218</v>
      </c>
    </row>
    <row r="7" spans="1:11" ht="30.75" customHeight="1">
      <c r="A7" s="13" t="s">
        <v>170</v>
      </c>
      <c r="B7" s="38">
        <v>0.15</v>
      </c>
      <c r="C7" s="13">
        <v>2</v>
      </c>
      <c r="D7" s="13">
        <v>5</v>
      </c>
      <c r="E7" s="13">
        <v>3</v>
      </c>
      <c r="F7" s="13">
        <v>5</v>
      </c>
      <c r="G7" s="39">
        <f>$B7*C7</f>
        <v>0.3</v>
      </c>
      <c r="H7" s="39">
        <f>$B7*D7</f>
        <v>0.75</v>
      </c>
      <c r="I7" s="39">
        <f>$B7*E7</f>
        <v>0.44999999999999996</v>
      </c>
      <c r="J7" s="39">
        <f>$B7*F7</f>
        <v>0.75</v>
      </c>
      <c r="K7" s="13" t="s">
        <v>219</v>
      </c>
    </row>
    <row r="8" spans="1:11">
      <c r="A8" s="15" t="s">
        <v>177</v>
      </c>
      <c r="B8" s="40">
        <v>0.15</v>
      </c>
      <c r="C8" s="15">
        <v>3</v>
      </c>
      <c r="D8" s="15">
        <v>4</v>
      </c>
      <c r="E8" s="15">
        <v>2</v>
      </c>
      <c r="F8" s="15">
        <v>4</v>
      </c>
      <c r="G8" s="41">
        <f>$B8*C8</f>
        <v>0.44999999999999996</v>
      </c>
      <c r="H8" s="41">
        <f>$B8*D8</f>
        <v>0.6</v>
      </c>
      <c r="I8" s="41">
        <f>$B8*E8</f>
        <v>0.3</v>
      </c>
      <c r="J8" s="41">
        <f>$B8*F8</f>
        <v>0.6</v>
      </c>
      <c r="K8" s="15" t="s">
        <v>220</v>
      </c>
    </row>
    <row r="9" spans="1:11">
      <c r="A9" s="13" t="s">
        <v>184</v>
      </c>
      <c r="B9" s="38">
        <v>0.15</v>
      </c>
      <c r="C9" s="13">
        <v>2</v>
      </c>
      <c r="D9" s="13">
        <v>4</v>
      </c>
      <c r="E9" s="13">
        <v>2</v>
      </c>
      <c r="F9" s="13">
        <v>4</v>
      </c>
      <c r="G9" s="39">
        <f>$B9*C9</f>
        <v>0.3</v>
      </c>
      <c r="H9" s="39">
        <f>$B9*D9</f>
        <v>0.6</v>
      </c>
      <c r="I9" s="39">
        <f>$B9*E9</f>
        <v>0.3</v>
      </c>
      <c r="J9" s="39">
        <f>$B9*F9</f>
        <v>0.6</v>
      </c>
      <c r="K9" s="13" t="s">
        <v>221</v>
      </c>
    </row>
    <row r="10" spans="1:11" ht="33.950000000000003" customHeight="1">
      <c r="A10" s="15" t="s">
        <v>99</v>
      </c>
      <c r="B10" s="40">
        <v>0.05</v>
      </c>
      <c r="C10" s="15">
        <v>1</v>
      </c>
      <c r="D10" s="15">
        <v>5</v>
      </c>
      <c r="E10" s="15">
        <v>2</v>
      </c>
      <c r="F10" s="15">
        <v>5</v>
      </c>
      <c r="G10" s="41">
        <f>$B10*C10</f>
        <v>0.05</v>
      </c>
      <c r="H10" s="41">
        <f>$B10*D10</f>
        <v>0.25</v>
      </c>
      <c r="I10" s="41">
        <f>$B10*E10</f>
        <v>0.1</v>
      </c>
      <c r="J10" s="41">
        <f>$B10*F10</f>
        <v>0.25</v>
      </c>
      <c r="K10" s="15" t="s">
        <v>222</v>
      </c>
    </row>
    <row r="11" spans="1:11">
      <c r="A11" s="13" t="s">
        <v>197</v>
      </c>
      <c r="B11" s="38">
        <v>0.05</v>
      </c>
      <c r="C11" s="13">
        <v>3</v>
      </c>
      <c r="D11" s="13">
        <v>3</v>
      </c>
      <c r="E11" s="13">
        <v>2</v>
      </c>
      <c r="F11" s="13">
        <v>4</v>
      </c>
      <c r="G11" s="39">
        <f>$B11*C11</f>
        <v>0.15000000000000002</v>
      </c>
      <c r="H11" s="39">
        <f>$B11*D11</f>
        <v>0.15000000000000002</v>
      </c>
      <c r="I11" s="39">
        <f>$B11*E11</f>
        <v>0.1</v>
      </c>
      <c r="J11" s="39">
        <f>$B11*F11</f>
        <v>0.2</v>
      </c>
      <c r="K11" s="13" t="s">
        <v>223</v>
      </c>
    </row>
    <row r="12" spans="1:11">
      <c r="A12" s="42" t="s">
        <v>224</v>
      </c>
      <c r="G12" s="43">
        <f>SUM(G5:G11)</f>
        <v>3.4999999999999996</v>
      </c>
      <c r="H12" s="43">
        <f>SUM(H5:H11)</f>
        <v>3.7</v>
      </c>
      <c r="I12" s="43">
        <f>SUM(I5:I11)</f>
        <v>3.05</v>
      </c>
      <c r="J12" s="43">
        <f>SUM(J5:J11)</f>
        <v>4.45</v>
      </c>
    </row>
    <row r="14" spans="1:11" ht="23.1" customHeight="1">
      <c r="A14" s="50" t="s">
        <v>225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</row>
    <row r="15" spans="1:11">
      <c r="A15" s="12" t="s">
        <v>2</v>
      </c>
      <c r="B15" s="12" t="s">
        <v>226</v>
      </c>
      <c r="C15" s="12" t="s">
        <v>227</v>
      </c>
      <c r="D15" s="12" t="s">
        <v>228</v>
      </c>
    </row>
    <row r="16" spans="1:11">
      <c r="A16" s="44" t="s">
        <v>229</v>
      </c>
      <c r="B16" s="44" t="s">
        <v>230</v>
      </c>
      <c r="C16" s="44" t="s">
        <v>231</v>
      </c>
      <c r="D16" s="44" t="s">
        <v>232</v>
      </c>
    </row>
    <row r="17" spans="1:4">
      <c r="A17" s="15" t="s">
        <v>7</v>
      </c>
      <c r="B17" s="15" t="s">
        <v>233</v>
      </c>
      <c r="C17" s="15" t="s">
        <v>234</v>
      </c>
      <c r="D17" s="15" t="s">
        <v>235</v>
      </c>
    </row>
    <row r="18" spans="1:4">
      <c r="A18" s="44" t="s">
        <v>236</v>
      </c>
      <c r="B18" s="44" t="s">
        <v>237</v>
      </c>
      <c r="C18" s="44" t="s">
        <v>231</v>
      </c>
      <c r="D18" s="44" t="s">
        <v>238</v>
      </c>
    </row>
    <row r="19" spans="1:4">
      <c r="A19" s="45" t="s">
        <v>11</v>
      </c>
      <c r="B19" s="45" t="s">
        <v>239</v>
      </c>
      <c r="C19" s="45" t="s">
        <v>240</v>
      </c>
      <c r="D19" s="45" t="s">
        <v>241</v>
      </c>
    </row>
  </sheetData>
  <mergeCells count="3">
    <mergeCell ref="A2:K2"/>
    <mergeCell ref="A14:K14"/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>
      <selection activeCell="B19" sqref="B19"/>
    </sheetView>
  </sheetViews>
  <sheetFormatPr defaultRowHeight="15"/>
  <cols>
    <col min="1" max="1" width="27" customWidth="1"/>
    <col min="2" max="4" width="34" customWidth="1"/>
    <col min="5" max="5" width="60.140625" customWidth="1"/>
    <col min="6" max="6" width="50.85546875" customWidth="1"/>
  </cols>
  <sheetData>
    <row r="1" spans="1:6" ht="32.1" customHeight="1">
      <c r="A1" s="48" t="s">
        <v>242</v>
      </c>
      <c r="B1" s="72"/>
      <c r="C1" s="72"/>
      <c r="D1" s="72"/>
      <c r="E1" s="72"/>
      <c r="F1" s="72"/>
    </row>
    <row r="3" spans="1:6">
      <c r="A3" s="12" t="s">
        <v>156</v>
      </c>
      <c r="B3" s="12" t="s">
        <v>229</v>
      </c>
      <c r="C3" s="12" t="s">
        <v>7</v>
      </c>
      <c r="D3" s="12" t="s">
        <v>236</v>
      </c>
      <c r="E3" s="12" t="s">
        <v>11</v>
      </c>
      <c r="F3" s="12" t="s">
        <v>148</v>
      </c>
    </row>
    <row r="4" spans="1:6">
      <c r="A4" s="13" t="s">
        <v>95</v>
      </c>
      <c r="B4" s="13" t="s">
        <v>243</v>
      </c>
      <c r="C4" s="13" t="s">
        <v>244</v>
      </c>
      <c r="D4" s="13" t="s">
        <v>245</v>
      </c>
      <c r="E4" s="13" t="s">
        <v>246</v>
      </c>
      <c r="F4" s="13" t="s">
        <v>247</v>
      </c>
    </row>
    <row r="5" spans="1:6">
      <c r="A5" s="15" t="s">
        <v>163</v>
      </c>
      <c r="B5" s="15" t="s">
        <v>248</v>
      </c>
      <c r="C5" s="15" t="s">
        <v>249</v>
      </c>
      <c r="D5" s="15" t="s">
        <v>250</v>
      </c>
      <c r="E5" s="15" t="s">
        <v>251</v>
      </c>
      <c r="F5" s="15" t="s">
        <v>247</v>
      </c>
    </row>
    <row r="6" spans="1:6">
      <c r="A6" s="13" t="s">
        <v>170</v>
      </c>
      <c r="B6" s="13" t="s">
        <v>252</v>
      </c>
      <c r="C6" s="13" t="s">
        <v>253</v>
      </c>
      <c r="D6" s="13" t="s">
        <v>254</v>
      </c>
      <c r="E6" s="13" t="s">
        <v>255</v>
      </c>
      <c r="F6" s="13" t="s">
        <v>247</v>
      </c>
    </row>
    <row r="7" spans="1:6">
      <c r="A7" s="15" t="s">
        <v>177</v>
      </c>
      <c r="B7" s="15" t="s">
        <v>256</v>
      </c>
      <c r="C7" s="15" t="s">
        <v>257</v>
      </c>
      <c r="D7" s="15" t="s">
        <v>258</v>
      </c>
      <c r="E7" s="15" t="s">
        <v>259</v>
      </c>
      <c r="F7" s="15" t="s">
        <v>247</v>
      </c>
    </row>
    <row r="8" spans="1:6" ht="23.25">
      <c r="A8" s="13" t="s">
        <v>184</v>
      </c>
      <c r="B8" s="13" t="s">
        <v>260</v>
      </c>
      <c r="C8" s="13" t="s">
        <v>261</v>
      </c>
      <c r="D8" s="13" t="s">
        <v>262</v>
      </c>
      <c r="E8" s="13" t="s">
        <v>221</v>
      </c>
      <c r="F8" s="13" t="s">
        <v>247</v>
      </c>
    </row>
    <row r="9" spans="1:6">
      <c r="A9" s="15" t="s">
        <v>99</v>
      </c>
      <c r="B9" s="15" t="s">
        <v>263</v>
      </c>
      <c r="C9" s="15" t="s">
        <v>264</v>
      </c>
      <c r="D9" s="15" t="s">
        <v>265</v>
      </c>
      <c r="E9" s="15" t="s">
        <v>264</v>
      </c>
      <c r="F9" s="15" t="s">
        <v>247</v>
      </c>
    </row>
    <row r="10" spans="1:6">
      <c r="A10" s="13" t="s">
        <v>197</v>
      </c>
      <c r="B10" s="13" t="s">
        <v>266</v>
      </c>
      <c r="C10" s="13" t="s">
        <v>267</v>
      </c>
      <c r="D10" s="13" t="s">
        <v>268</v>
      </c>
      <c r="E10" s="13" t="s">
        <v>269</v>
      </c>
      <c r="F10" s="13" t="s">
        <v>247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/>
  </sheetViews>
  <sheetFormatPr defaultRowHeight="15"/>
  <cols>
    <col min="1" max="1" width="28" customWidth="1"/>
    <col min="2" max="2" width="26" customWidth="1"/>
    <col min="3" max="3" width="30" bestFit="1" customWidth="1"/>
    <col min="4" max="4" width="22" customWidth="1"/>
    <col min="5" max="5" width="20.140625" customWidth="1"/>
    <col min="6" max="6" width="14" customWidth="1"/>
    <col min="7" max="7" width="35.7109375" customWidth="1"/>
    <col min="8" max="8" width="52" customWidth="1"/>
    <col min="9" max="9" width="58.28515625" customWidth="1"/>
    <col min="10" max="10" width="16" customWidth="1"/>
  </cols>
  <sheetData>
    <row r="1" spans="1:10">
      <c r="A1" s="8" t="s">
        <v>270</v>
      </c>
      <c r="B1" s="8" t="s">
        <v>271</v>
      </c>
      <c r="C1" s="8" t="s">
        <v>272</v>
      </c>
      <c r="D1" s="8" t="s">
        <v>273</v>
      </c>
      <c r="E1" s="8" t="s">
        <v>274</v>
      </c>
      <c r="F1" s="8" t="s">
        <v>275</v>
      </c>
      <c r="G1" s="8" t="s">
        <v>276</v>
      </c>
      <c r="H1" s="8" t="s">
        <v>277</v>
      </c>
      <c r="I1" s="8" t="s">
        <v>278</v>
      </c>
      <c r="J1" s="8" t="s">
        <v>279</v>
      </c>
    </row>
    <row r="2" spans="1:10">
      <c r="A2" s="9" t="s">
        <v>280</v>
      </c>
      <c r="B2" s="9" t="s">
        <v>281</v>
      </c>
      <c r="C2" s="9" t="s">
        <v>282</v>
      </c>
      <c r="D2" s="9" t="s">
        <v>283</v>
      </c>
      <c r="E2" s="10">
        <v>46317</v>
      </c>
      <c r="F2" s="9" t="s">
        <v>284</v>
      </c>
      <c r="G2" s="9" t="s">
        <v>96</v>
      </c>
      <c r="H2" s="9" t="s">
        <v>285</v>
      </c>
      <c r="I2" s="9" t="s">
        <v>286</v>
      </c>
      <c r="J2" s="9" t="s">
        <v>287</v>
      </c>
    </row>
    <row r="3" spans="1:10" ht="16.5" customHeight="1">
      <c r="A3" s="9" t="s">
        <v>288</v>
      </c>
      <c r="B3" s="9" t="s">
        <v>289</v>
      </c>
      <c r="C3" s="9" t="s">
        <v>290</v>
      </c>
      <c r="D3" s="9" t="s">
        <v>291</v>
      </c>
      <c r="E3" s="10">
        <v>46315</v>
      </c>
      <c r="F3" s="9" t="s">
        <v>284</v>
      </c>
      <c r="G3" s="9" t="s">
        <v>96</v>
      </c>
      <c r="H3" s="11" t="s">
        <v>292</v>
      </c>
      <c r="I3" s="9" t="s">
        <v>293</v>
      </c>
      <c r="J3" s="9" t="s">
        <v>294</v>
      </c>
    </row>
    <row r="4" spans="1:10" ht="16.5" customHeight="1">
      <c r="A4" s="9" t="s">
        <v>295</v>
      </c>
      <c r="B4" s="9" t="s">
        <v>296</v>
      </c>
      <c r="C4" s="9" t="s">
        <v>297</v>
      </c>
      <c r="D4" s="9" t="s">
        <v>75</v>
      </c>
      <c r="E4" s="10">
        <v>46316</v>
      </c>
      <c r="F4" s="9" t="s">
        <v>284</v>
      </c>
      <c r="G4" s="9" t="s">
        <v>97</v>
      </c>
      <c r="H4" s="11" t="s">
        <v>298</v>
      </c>
      <c r="I4" s="9" t="s">
        <v>299</v>
      </c>
      <c r="J4" s="9" t="s">
        <v>300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showGridLines="0" workbookViewId="0"/>
  </sheetViews>
  <sheetFormatPr defaultRowHeight="15"/>
  <cols>
    <col min="1" max="1" width="40" customWidth="1"/>
    <col min="2" max="2" width="21" bestFit="1" customWidth="1"/>
    <col min="3" max="3" width="60" customWidth="1"/>
    <col min="4" max="4" width="31" customWidth="1"/>
    <col min="5" max="5" width="46" customWidth="1"/>
    <col min="6" max="6" width="36.5703125" customWidth="1"/>
  </cols>
  <sheetData>
    <row r="1" spans="1:4" ht="32.1" customHeight="1">
      <c r="A1" s="48" t="s">
        <v>301</v>
      </c>
      <c r="B1" s="72"/>
      <c r="C1" s="72"/>
      <c r="D1" s="72"/>
    </row>
    <row r="2" spans="1:4" ht="30.75" customHeight="1"/>
    <row r="3" spans="1:4" ht="30.75" customHeight="1">
      <c r="A3" s="12" t="s">
        <v>302</v>
      </c>
      <c r="B3" s="12" t="s">
        <v>167</v>
      </c>
      <c r="C3" s="12" t="s">
        <v>58</v>
      </c>
      <c r="D3" s="12" t="s">
        <v>303</v>
      </c>
    </row>
    <row r="4" spans="1:4" ht="30.75" customHeight="1">
      <c r="A4" s="13" t="s">
        <v>304</v>
      </c>
      <c r="B4" s="13" t="s">
        <v>305</v>
      </c>
      <c r="C4" s="13" t="s">
        <v>306</v>
      </c>
      <c r="D4" s="13" t="s">
        <v>307</v>
      </c>
    </row>
    <row r="5" spans="1:4" ht="30.75" customHeight="1">
      <c r="A5" s="15" t="s">
        <v>308</v>
      </c>
      <c r="B5" s="15" t="s">
        <v>305</v>
      </c>
      <c r="C5" s="15" t="s">
        <v>309</v>
      </c>
      <c r="D5" s="15" t="s">
        <v>307</v>
      </c>
    </row>
    <row r="6" spans="1:4" ht="30.75" customHeight="1">
      <c r="A6" s="13" t="s">
        <v>310</v>
      </c>
      <c r="B6" s="13" t="s">
        <v>305</v>
      </c>
      <c r="C6" s="13" t="s">
        <v>311</v>
      </c>
      <c r="D6" s="13" t="s">
        <v>312</v>
      </c>
    </row>
    <row r="7" spans="1:4" ht="30.75" customHeight="1">
      <c r="A7" s="15" t="s">
        <v>313</v>
      </c>
      <c r="B7" s="15" t="s">
        <v>305</v>
      </c>
      <c r="C7" s="15" t="s">
        <v>314</v>
      </c>
      <c r="D7" s="15" t="s">
        <v>315</v>
      </c>
    </row>
    <row r="8" spans="1:4" ht="30.75" customHeight="1">
      <c r="A8" s="13" t="s">
        <v>316</v>
      </c>
      <c r="B8" s="13" t="s">
        <v>305</v>
      </c>
      <c r="C8" s="13" t="s">
        <v>317</v>
      </c>
      <c r="D8" s="13" t="s">
        <v>318</v>
      </c>
    </row>
    <row r="9" spans="1:4" ht="30.75" customHeight="1">
      <c r="A9" s="15" t="s">
        <v>319</v>
      </c>
      <c r="B9" s="15" t="s">
        <v>305</v>
      </c>
      <c r="C9" s="15" t="s">
        <v>320</v>
      </c>
      <c r="D9" s="15" t="s">
        <v>321</v>
      </c>
    </row>
    <row r="10" spans="1:4">
      <c r="A10" s="13" t="s">
        <v>322</v>
      </c>
      <c r="B10" s="13" t="s">
        <v>305</v>
      </c>
      <c r="C10" s="13" t="s">
        <v>323</v>
      </c>
      <c r="D10" s="13" t="s">
        <v>324</v>
      </c>
    </row>
    <row r="11" spans="1:4" ht="30.75" customHeight="1">
      <c r="A11" s="15" t="s">
        <v>325</v>
      </c>
      <c r="B11" s="15" t="s">
        <v>326</v>
      </c>
      <c r="C11" s="15" t="s">
        <v>327</v>
      </c>
      <c r="D11" s="15" t="s">
        <v>328</v>
      </c>
    </row>
    <row r="12" spans="1:4" ht="26.25" customHeight="1">
      <c r="A12" s="13" t="s">
        <v>329</v>
      </c>
      <c r="B12" s="13" t="s">
        <v>305</v>
      </c>
      <c r="C12" s="13" t="s">
        <v>330</v>
      </c>
      <c r="D12" s="13" t="s">
        <v>331</v>
      </c>
    </row>
    <row r="13" spans="1:4" ht="45.75" customHeight="1">
      <c r="A13" s="15" t="s">
        <v>332</v>
      </c>
      <c r="B13" s="15" t="s">
        <v>305</v>
      </c>
      <c r="C13" s="15" t="s">
        <v>333</v>
      </c>
      <c r="D13" s="15" t="s">
        <v>334</v>
      </c>
    </row>
    <row r="15" spans="1:4" ht="23.1" customHeight="1">
      <c r="A15" s="50" t="s">
        <v>335</v>
      </c>
      <c r="B15" s="72"/>
      <c r="C15" s="72"/>
      <c r="D15" s="72"/>
    </row>
    <row r="16" spans="1:4" ht="38.1" customHeight="1">
      <c r="A16" s="71" t="s">
        <v>336</v>
      </c>
      <c r="B16" s="72"/>
      <c r="C16" s="72"/>
      <c r="D16" s="72"/>
    </row>
  </sheetData>
  <mergeCells count="3">
    <mergeCell ref="A1:D1"/>
    <mergeCell ref="A16:D16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Jovanka Schauder</dc:creator>
  <cp:keywords/>
  <dc:description/>
  <cp:lastModifiedBy/>
  <cp:revision/>
  <dcterms:created xsi:type="dcterms:W3CDTF">2026-10-11T13:23:27Z</dcterms:created>
  <dcterms:modified xsi:type="dcterms:W3CDTF">2026-10-11T13:26:45Z</dcterms:modified>
  <cp:category/>
  <cp:contentStatus/>
</cp:coreProperties>
</file>